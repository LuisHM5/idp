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5"/>
    <sheet state="visible" name="% por actividades" sheetId="2" r:id="rId6"/>
    <sheet state="visible" name="Tabla dinámica 1" sheetId="3" r:id="rId7"/>
    <sheet state="visible" name="Tareas" sheetId="4" r:id="rId8"/>
    <sheet state="visible" name="Inventario de documentación" sheetId="5" r:id="rId9"/>
    <sheet state="visible" name="Registro de historias de usuari" sheetId="6" r:id="rId10"/>
    <sheet state="visible" name="Matriz pruebas" sheetId="7" r:id="rId11"/>
    <sheet state="hidden" name="Cronología 1" sheetId="8" r:id="rId12"/>
  </sheets>
  <definedNames/>
  <calcPr/>
  <pivotCaches>
    <pivotCache cacheId="0" r:id="rId13"/>
  </pivotCaches>
</workbook>
</file>

<file path=xl/sharedStrings.xml><?xml version="1.0" encoding="utf-8"?>
<sst xmlns="http://schemas.openxmlformats.org/spreadsheetml/2006/main" count="2527" uniqueCount="947">
  <si>
    <t xml:space="preserve">Cronograma </t>
  </si>
  <si>
    <t xml:space="preserve">No. </t>
  </si>
  <si>
    <t>Este documento es propiedad de Alsuper®. Fue elaborado por la Oficina de proyectos, establecida en la Gerencia de Sistemas. El documento es denominado como formato de “Cronograma de Proyecto”. Su uso debe ser a partir de la generación de la plantilla que la Oficina de Proyectos puso a disposición.
Los títulos de cada dato requerido y formato establecido no pueden ser modificados sin previa autorización del líder de la Oficina de proyectos.</t>
  </si>
  <si>
    <t>Proyecto:</t>
  </si>
  <si>
    <t>Mes Real</t>
  </si>
  <si>
    <t>Tarea</t>
  </si>
  <si>
    <t>Gestor Documental Inteligente</t>
  </si>
  <si>
    <t>SUM de % Valor Modulo 1</t>
  </si>
  <si>
    <t>Impacto</t>
  </si>
  <si>
    <t/>
  </si>
  <si>
    <t>Responsable</t>
  </si>
  <si>
    <t>agosto 2026</t>
  </si>
  <si>
    <t>Fecha de Inicio:</t>
  </si>
  <si>
    <t>Estado</t>
  </si>
  <si>
    <t>julio 2026</t>
  </si>
  <si>
    <t>Fecha de requerimiento</t>
  </si>
  <si>
    <t>mayo 2026</t>
  </si>
  <si>
    <t>octubre 2026</t>
  </si>
  <si>
    <t>Fecha de inicio de actividad</t>
  </si>
  <si>
    <t>septiembre 2026</t>
  </si>
  <si>
    <t>Fecha de entrega solicitada</t>
  </si>
  <si>
    <t>Suma total</t>
  </si>
  <si>
    <t>Elaborado por:</t>
  </si>
  <si>
    <t>Fecha de finalización Real</t>
  </si>
  <si>
    <t>LUIS HERNANDEZ MARCO FUENTES AGUIRRE</t>
  </si>
  <si>
    <t>Hito</t>
  </si>
  <si>
    <t>Distribuible</t>
  </si>
  <si>
    <t>Notas</t>
  </si>
  <si>
    <t>Commit</t>
  </si>
  <si>
    <t>Porcentaje general de avance</t>
  </si>
  <si>
    <t>Realizar sesión técnica con TIM</t>
  </si>
  <si>
    <t>Bajo</t>
  </si>
  <si>
    <t>LUIS HERNANDEZ</t>
  </si>
  <si>
    <t>MOD 1</t>
  </si>
  <si>
    <t>No.</t>
  </si>
  <si>
    <t>Etapa / Actividad</t>
  </si>
  <si>
    <t>Fecha de inicio</t>
  </si>
  <si>
    <t>Fecha fin compromiso</t>
  </si>
  <si>
    <t>Fecha inicio real</t>
  </si>
  <si>
    <t>Fecha fin real</t>
  </si>
  <si>
    <t>Completada</t>
  </si>
  <si>
    <t>Comentarios por entregas fuera de cronograma</t>
  </si>
  <si>
    <t>Porcentaje de avance</t>
  </si>
  <si>
    <t>Días estimados</t>
  </si>
  <si>
    <t>Días transcurridos entre la actividad</t>
  </si>
  <si>
    <t>% Valor Modulo 1</t>
  </si>
  <si>
    <t>% Valor Modulo 2</t>
  </si>
  <si>
    <t>% Valor Modulo 3</t>
  </si>
  <si>
    <t>% Valor Modulo 4</t>
  </si>
  <si>
    <t>% Valor Modulo 5</t>
  </si>
  <si>
    <t>Mes Esperado</t>
  </si>
  <si>
    <t>Mes Compromiso</t>
  </si>
  <si>
    <t>% Esperado</t>
  </si>
  <si>
    <t>FASE 1: DEMANDA Y PRIORIZACIÓN</t>
  </si>
  <si>
    <t>% Esperado Suma</t>
  </si>
  <si>
    <t>% Fin Real</t>
  </si>
  <si>
    <t>% Real suma</t>
  </si>
  <si>
    <t>para exponer requerimientos de consumo de APIs y método de carga de documentos desde el sistema de Alsuper al entorno Xternall Dox. (Descartado)</t>
  </si>
  <si>
    <t>Alsuper</t>
  </si>
  <si>
    <t>Proveedor</t>
  </si>
  <si>
    <t>Definir el modelo de desarrollo de APIs</t>
  </si>
  <si>
    <t>Alto</t>
  </si>
  <si>
    <t>Caso de Negocio (BC)</t>
  </si>
  <si>
    <t>FASE 3: DISCOVERY Y DEFINICIÓN (Primer bloque)</t>
  </si>
  <si>
    <t>decidiendo si la construcción será Inhouse (sin costo extra) o desarrollada por TIM (con costo de implementación).</t>
  </si>
  <si>
    <t>Nombre de documento</t>
  </si>
  <si>
    <t>Estatus del documento</t>
  </si>
  <si>
    <t>Documento adjunto</t>
  </si>
  <si>
    <t>Business Case</t>
  </si>
  <si>
    <t>Autorizado</t>
  </si>
  <si>
    <t>Business Case Sistema de Validación y Extracción Inteligente de Documentos - 28/8/26, 10:43 am</t>
  </si>
  <si>
    <t xml:space="preserve">Definir el volumen mensual de documentos </t>
  </si>
  <si>
    <t>Medio</t>
  </si>
  <si>
    <t>1.1.1</t>
  </si>
  <si>
    <t>Levantamiento inicial de necesidades operativas y beneficios esperados</t>
  </si>
  <si>
    <t>Business Requirements Document / Historias de usuario</t>
  </si>
  <si>
    <t>basado en los 1,240 detectados inicialmente (Promocontrol, Portal de proveedores, Costos).</t>
  </si>
  <si>
    <t>BRD - Estandarización y Visibilidad del Portafolio de Proyectos Institucionales - 30/7/26, 1:26 pm</t>
  </si>
  <si>
    <t>Request for Proposal</t>
  </si>
  <si>
    <t>1.1.2</t>
  </si>
  <si>
    <t>Estimación de volumetría documental y cálculo de ahorro de horas-hombre</t>
  </si>
  <si>
    <t>Acta de Proyecto módulo Pedimentos</t>
  </si>
  <si>
    <t>Creado</t>
  </si>
  <si>
    <t xml:space="preserve">Revisión BC PMO </t>
  </si>
  <si>
    <t>Acta de Proyecto - Módulo Pedimentos</t>
  </si>
  <si>
    <t>Acta de Proyecto módulo Portal de Proveedores</t>
  </si>
  <si>
    <t>1.1.3</t>
  </si>
  <si>
    <t>Presentación proyecto BC con dirección</t>
  </si>
  <si>
    <t>Se recorrio la junta</t>
  </si>
  <si>
    <t>Acta de Proyecto módulo Promocontrol</t>
  </si>
  <si>
    <t>1.1.4</t>
  </si>
  <si>
    <t>G1: Autorización directiva de inicio de la iniciativa</t>
  </si>
  <si>
    <t>Análisis financiero de infraestructura Cloud e IA (Costos y retorno de inversión)</t>
  </si>
  <si>
    <t>Acta de Proyecto módulo Seguros</t>
  </si>
  <si>
    <t>FASE 2: AUTORIZACIÓN Y FORMALIZACIÓN</t>
  </si>
  <si>
    <t>Registro de tareas</t>
  </si>
  <si>
    <t>Estado Mensual</t>
  </si>
  <si>
    <t>Estado de proyecto mensual - IDP</t>
  </si>
  <si>
    <t>Correcciones BC PMO y expansion de la propuesta</t>
  </si>
  <si>
    <t xml:space="preserve">Actas de Proyecto </t>
  </si>
  <si>
    <t>MARCO FUENTES AGUIRRE</t>
  </si>
  <si>
    <t>A petición de Leopoldo se dividirá el proyecto para presentarlo de forma individual por módulo</t>
  </si>
  <si>
    <t>Acta de Cierre</t>
  </si>
  <si>
    <t>Revisión Gerente de infraestructura</t>
  </si>
  <si>
    <t>2.1.1</t>
  </si>
  <si>
    <t>Elaboración de las Actas de Proyecto de cada módulo</t>
  </si>
  <si>
    <t>Pendiente Dato costo promedio para modulos promocontrol y alta proveedores</t>
  </si>
  <si>
    <t>Correcciones BC gerente (ajuste cronograma)</t>
  </si>
  <si>
    <t>2.1.2</t>
  </si>
  <si>
    <t>Estructuración y firmas de las Actas de Proyecto</t>
  </si>
  <si>
    <t>Pendiente firmas promocontrol y alta proveedores</t>
  </si>
  <si>
    <t>Revisión gerente general, PMO y gerente de area</t>
  </si>
  <si>
    <t>2.1.3</t>
  </si>
  <si>
    <t>G2: Solicitud y autorización de presupuesto operativo para servicios AWS</t>
  </si>
  <si>
    <t>Correcciones BC gerente general ajustes de tiempos</t>
  </si>
  <si>
    <t>Revisión gerente general ajustes</t>
  </si>
  <si>
    <t>Análisis Documental y Requerimientos Detallados (BRD)</t>
  </si>
  <si>
    <t>No. Historia 
de Usuario</t>
  </si>
  <si>
    <t>Nombre de Historia de Usuario</t>
  </si>
  <si>
    <t>Fecha 
de elaboración</t>
  </si>
  <si>
    <t>Versión</t>
  </si>
  <si>
    <t>Rol de Usuario</t>
  </si>
  <si>
    <t>Responsable de elaboración</t>
  </si>
  <si>
    <t>Responsable de Revisión TI</t>
  </si>
  <si>
    <t>Responsable de Revisión área solicitante</t>
  </si>
  <si>
    <t>Autorizador de HU</t>
  </si>
  <si>
    <t>Terminar el formato de BC</t>
  </si>
  <si>
    <t>Estatus de la HU</t>
  </si>
  <si>
    <t>Archivo de la HU</t>
  </si>
  <si>
    <t>Comentarios</t>
  </si>
  <si>
    <t>#1</t>
  </si>
  <si>
    <t>1.0.0.0</t>
  </si>
  <si>
    <t>Ya se avanzó bastante y se tuvo una primer revisión con Daniel, se está trabajando en los comentarios resultantes de dicha reunión. Queda pendiente al VoBo de Dani para enviarlo a aprobación con Alberto</t>
  </si>
  <si>
    <t>3.1.1</t>
  </si>
  <si>
    <t>Recolección de muestras documentales reales o anonimizadas (50 por tipo)</t>
  </si>
  <si>
    <t>#2</t>
  </si>
  <si>
    <t>Revision de Business Case con Alberto</t>
  </si>
  <si>
    <t xml:space="preserve">A la espera de VoBo de Alberto </t>
  </si>
  <si>
    <t>#3</t>
  </si>
  <si>
    <t>3.1.2</t>
  </si>
  <si>
    <t>Mapeo de diccionarios de datos actuales por sistema (CEDIS, ERP, Portal, Promocontrol)</t>
  </si>
  <si>
    <t>Correcciones finales BC (cronograma, costos y volumen documental)</t>
  </si>
  <si>
    <t>#4</t>
  </si>
  <si>
    <t>MOD 2</t>
  </si>
  <si>
    <t>3.1.3</t>
  </si>
  <si>
    <t>Elaboración de cuadros comparativos de datos (Documento físico vs Tabla vs Extracción)</t>
  </si>
  <si>
    <t>#5</t>
  </si>
  <si>
    <t>Agendar reunión para aprobación de Business Case (Polo)</t>
  </si>
  <si>
    <t>#6</t>
  </si>
  <si>
    <t xml:space="preserve">A la espera de VoBo de Polo </t>
  </si>
  <si>
    <t>3.1.4</t>
  </si>
  <si>
    <t>#7</t>
  </si>
  <si>
    <t>Definición de reglas de validación y estructura JSON para motor dinámico</t>
  </si>
  <si>
    <t>Elaboración y presentación del Caso de Negocio a Dirección</t>
  </si>
  <si>
    <t>3.1.5</t>
  </si>
  <si>
    <t>Documentación de requerimientos funcionales, no funcionales y de seguridad (BRD)</t>
  </si>
  <si>
    <t>Herramienta terminal comparación jsons</t>
  </si>
  <si>
    <t>JUAN CARLOS RUIZ OROZCO</t>
  </si>
  <si>
    <t>3.1.6</t>
  </si>
  <si>
    <t>Revisión y firma de documento BRD detallado con stakeholders</t>
  </si>
  <si>
    <t>FASE 4: CONSTRUCCIÓN Y CONTROL (Segundo bloque)</t>
  </si>
  <si>
    <t>Planeación del Proyecto</t>
  </si>
  <si>
    <t>Jsons de respuesta esperados pedimentos</t>
  </si>
  <si>
    <t>LUIS FERNANDO LARA GONZALEZ</t>
  </si>
  <si>
    <t>3.2.1</t>
  </si>
  <si>
    <t>Estimación detallada de tiempos y esfuerzos para módulos de desarrollo</t>
  </si>
  <si>
    <t>Junta aws tips y consejos</t>
  </si>
  <si>
    <t>3.2.2</t>
  </si>
  <si>
    <t>Estructuración de cronograma base e hitos de entrega</t>
  </si>
  <si>
    <t>3.2.3</t>
  </si>
  <si>
    <t>G3: Aprobación del alcance técnico final (Sign-off)</t>
  </si>
  <si>
    <t>Analisis costo beneficio modelos</t>
  </si>
  <si>
    <t>noviembre 2026</t>
  </si>
  <si>
    <t>Pruebas de fiabilidad de datos y respuestas jsons</t>
  </si>
  <si>
    <t>Construcción del Núcleo y API (Entrega 1 - MVP)</t>
  </si>
  <si>
    <t>4.1.1</t>
  </si>
  <si>
    <t>Configuración de infraestructura base en AWS (Ambiente de desarrollo aislado)</t>
  </si>
  <si>
    <t>Fallback en modelos y esquemas para mejor categorización y configuración de los modelos</t>
  </si>
  <si>
    <t>Caso de Prueba</t>
  </si>
  <si>
    <t>4.1.2</t>
  </si>
  <si>
    <t>Desarrollo de API REST para ingesta de documentos (Modalidad Inline y URLs prefirmadas de S3)</t>
  </si>
  <si>
    <t>HU</t>
  </si>
  <si>
    <t>INCISO/CAMPO</t>
  </si>
  <si>
    <t>Valor Esperado</t>
  </si>
  <si>
    <t>Valor Real</t>
  </si>
  <si>
    <t>Valor no esperado</t>
  </si>
  <si>
    <t>Resultado</t>
  </si>
  <si>
    <t>Detalle de la nota</t>
  </si>
  <si>
    <t>prueba desde usuario</t>
  </si>
  <si>
    <t>Corregido</t>
  </si>
  <si>
    <t>Comentarios de la corrección</t>
  </si>
  <si>
    <t>Reunion con Ericka y Clemente para ver el plan de integración del sistema</t>
  </si>
  <si>
    <t>4.1.3</t>
  </si>
  <si>
    <t>Validación de corrección</t>
  </si>
  <si>
    <t>Implementación de seguridad base (Validación de API Keys y protección contra tráfico no autorizado)</t>
  </si>
  <si>
    <t>Comentarios de confirmación</t>
  </si>
  <si>
    <t>Fecha de cconfirmación</t>
  </si>
  <si>
    <t>4.1.4</t>
  </si>
  <si>
    <t>Desarrollo de motor de clasificación automática mediante IA (Amazon Bedrock) y segmentación de PDFs</t>
  </si>
  <si>
    <t>Mapeo documento pedimento excel</t>
  </si>
  <si>
    <t>4.1.5</t>
  </si>
  <si>
    <t>Configuración de catálogo de validación dinámica en base de datos (DynamoDB Hot reload)</t>
  </si>
  <si>
    <t>4.1.6</t>
  </si>
  <si>
    <t>Implementación de sistema de notificaciones de estados resolutivos (Amazon EventBridge)</t>
  </si>
  <si>
    <t>Normalización api subida a un solo canal sin importar el tamaño del documento</t>
  </si>
  <si>
    <t>LUIS HERNANDEZ MACIAS</t>
  </si>
  <si>
    <t>MOD 3</t>
  </si>
  <si>
    <t>4.1.7</t>
  </si>
  <si>
    <t>Desarrollo de herramienta de línea de comandos (CLI) para pruebas de procesamiento local</t>
  </si>
  <si>
    <t>LUIS FERNANDO LARA GONZALEZ
JUAN CARLOS RUIZ OROZCO</t>
  </si>
  <si>
    <t>Junta presentación proyecto y aprobación con Polo</t>
  </si>
  <si>
    <t>Desarrollo de Extracción Base: Pedimentos (Entrega 1 - MVP)</t>
  </si>
  <si>
    <t>Proyecto aprobado!</t>
  </si>
  <si>
    <t>4.2.1</t>
  </si>
  <si>
    <t>Recolección de documentos y mapeo de pedimento sistema vs documento</t>
  </si>
  <si>
    <t>Mapeo documento pedimento pdf</t>
  </si>
  <si>
    <t>4.2.2</t>
  </si>
  <si>
    <t>Entrenamiento y configuración de reglas de extracción para Pedimento Aduanal</t>
  </si>
  <si>
    <t>Mapeo json pedimento normalizado contra tablas de ERP</t>
  </si>
  <si>
    <t>4.2.3</t>
  </si>
  <si>
    <t>Desarrollo de módulo de detección, lectura y extracción de códigos QR</t>
  </si>
  <si>
    <t>4.2.4</t>
  </si>
  <si>
    <t>Mejoras del motor de extracción y pruebas</t>
  </si>
  <si>
    <t>4.2.5</t>
  </si>
  <si>
    <t>Reporte de fiabilidad y costos</t>
  </si>
  <si>
    <t>En curso</t>
  </si>
  <si>
    <t>Integraciones CEDIS y ERP (Entregas 2 y 3)</t>
  </si>
  <si>
    <t>CLEMENTE CARRILLO CORRAL</t>
  </si>
  <si>
    <t xml:space="preserve">Las fechas apartir de aquí dependen de la disponibilidad de Gerentes de TI y pueden variar. Se proyectan usando de base el </t>
  </si>
  <si>
    <t>4.3.1</t>
  </si>
  <si>
    <t xml:space="preserve">Desarrollo app ERP (api) integradora para subir y obtener la información de documentos </t>
  </si>
  <si>
    <t>4.3.2</t>
  </si>
  <si>
    <t>Configuración de extracción documental: Facturas de agencia aduanal (PDF y XML)</t>
  </si>
  <si>
    <t>4.3.3</t>
  </si>
  <si>
    <t>Configuración de extracción documental: Honorarios y Facturas de proveedores extranjeros</t>
  </si>
  <si>
    <t>4.3.4</t>
  </si>
  <si>
    <t>Configuración de extracción documental: Fletes, Operaciones Logísticas y Otros servicios</t>
  </si>
  <si>
    <t>4.3.5</t>
  </si>
  <si>
    <t>Configuración de extracción documental: Permisos de salud</t>
  </si>
  <si>
    <t>4.3.6</t>
  </si>
  <si>
    <t>Pruebas de lectura y autocompletado en flujos operativos de CEDIS y ERP</t>
  </si>
  <si>
    <t>Integración Portal de Proveedores (Entrega 4)</t>
  </si>
  <si>
    <t>4.4.1</t>
  </si>
  <si>
    <t>Desarrollo de conexión con módulo de pre-registro del Portal de Proveedores</t>
  </si>
  <si>
    <t>4.4.2</t>
  </si>
  <si>
    <t>Configuración de extracción documental: Constancia de Situación Fiscal</t>
  </si>
  <si>
    <t>4.4.3</t>
  </si>
  <si>
    <t>Configuracion constancia situacion fiscal multinacional</t>
  </si>
  <si>
    <t>4.4.4</t>
  </si>
  <si>
    <t>Configuración de extracción documental: Identificación oficial, Contrato de Servicio y Estado de Cuenta</t>
  </si>
  <si>
    <t>4.4.5</t>
  </si>
  <si>
    <t>Configuración de extracción documental: Acta constitutiva y Registro publico de comercio</t>
  </si>
  <si>
    <t>Clasificación documentos drive</t>
  </si>
  <si>
    <t>4.4.6</t>
  </si>
  <si>
    <t>Recolección de sellos y logos de proveedores</t>
  </si>
  <si>
    <t>Estabilización e Integraciones Adicionales (Entregas 5, 6 y 7)</t>
  </si>
  <si>
    <t>Capacitación equipo Clemente uso api IDP</t>
  </si>
  <si>
    <t>4.5.1</t>
  </si>
  <si>
    <t>Cierre de recolección de sellos y optimización de procesamiento y limpieza de imágenes</t>
  </si>
  <si>
    <t>4.5.2</t>
  </si>
  <si>
    <t>Configuración de extracción documental: Carta NOM35</t>
  </si>
  <si>
    <t>4.5.3</t>
  </si>
  <si>
    <t>Pruebas y ajustes de integración de información con sistema Promocontrol</t>
  </si>
  <si>
    <t>Capacitación Luis y Juan IDP</t>
  </si>
  <si>
    <t>4.5.4</t>
  </si>
  <si>
    <t>Configuración de extracción documental: Pólizas de seguros</t>
  </si>
  <si>
    <t>4.5.5</t>
  </si>
  <si>
    <t>Pruebas y ajustes de integración de datos con sistema de Seguros</t>
  </si>
  <si>
    <t>4.5.6</t>
  </si>
  <si>
    <t>Evaluación de viabilidad técnica e impacto operativo para futuras integraciones documentales</t>
  </si>
  <si>
    <t>Mapeo constanica de situación fiscal</t>
  </si>
  <si>
    <t>Documentación Técnica y Calidad</t>
  </si>
  <si>
    <t>4.6.1</t>
  </si>
  <si>
    <t>Elaboración de manuales técnicos, uso de API y arquitectura de infraestructura</t>
  </si>
  <si>
    <t>Configuración rate limits api</t>
  </si>
  <si>
    <t>4.6.2</t>
  </si>
  <si>
    <t>Control, registro y evaluación de desviaciones de alcance (Gestión de Cambios)</t>
  </si>
  <si>
    <t>4.6.3</t>
  </si>
  <si>
    <t>Ejecución de pruebas unitarias, de integración y E2E para cada entrega liberada</t>
  </si>
  <si>
    <t>4.6.4</t>
  </si>
  <si>
    <t>Generación de reportes de fiabilidad de extracción por tipo de documento</t>
  </si>
  <si>
    <t>Acercamiento con usuarios del portal para alta de proveedores</t>
  </si>
  <si>
    <t>4.6.5</t>
  </si>
  <si>
    <t>G4: Certificación técnica de la plataforma y cierre de fase de desarrollo</t>
  </si>
  <si>
    <t>FASE 5: VALIDACIÓN Y CIERRE (Tercer bloque)</t>
  </si>
  <si>
    <t>MOD 4</t>
  </si>
  <si>
    <t>Transición y Pruebas UAT</t>
  </si>
  <si>
    <t>Clasificación documentos portal para alta de proveedores</t>
  </si>
  <si>
    <t>5.1.1</t>
  </si>
  <si>
    <t>Generación de guías operativas y documentación de estados de excepción</t>
  </si>
  <si>
    <t>5.1.2</t>
  </si>
  <si>
    <t>Ejecución de pruebas de validación final (UAT) en conjunto con áreas operativas</t>
  </si>
  <si>
    <t>Acercamiento con usuarios del portal para aclaraciones</t>
  </si>
  <si>
    <t>5.1.3</t>
  </si>
  <si>
    <t>Capacitación técnica a equipo de TI para soporte, monitoreo de métricas y uso de CLI</t>
  </si>
  <si>
    <t>Restructuracion del enfoque para el area de Aclaraciones</t>
  </si>
  <si>
    <t>5.1.4</t>
  </si>
  <si>
    <t>Capacitación a usuarios finales operativos enfocada en resolución de excepciones documentales</t>
  </si>
  <si>
    <t>Desarrollo de Implementacion de Constancia de situacion fiscal en el portal</t>
  </si>
  <si>
    <t>Salida a Producción (Go-Live)</t>
  </si>
  <si>
    <t>Demo de funcionalidad en el portal de Proveedores</t>
  </si>
  <si>
    <t>5.2.1</t>
  </si>
  <si>
    <t>G5: Autorización directiva de paso a producción</t>
  </si>
  <si>
    <t>Inicio del proyecto: estructura base, stack CDK, Lambdas y catálogos iniciales</t>
  </si>
  <si>
    <t>5.2.2</t>
  </si>
  <si>
    <t>Despliegue de infraestructura final en ambiente de producción aislado</t>
  </si>
  <si>
    <t>5.2.3</t>
  </si>
  <si>
    <t>Activación de protecciones perimetrales (AWS WAF) y alarmas de consumo en producción</t>
  </si>
  <si>
    <t>Commit 8e1267e</t>
  </si>
  <si>
    <r>
      <rPr>
        <color rgb="FF1155CC"/>
        <u/>
      </rPr>
      <t>8e1267e</t>
    </r>
  </si>
  <si>
    <t>diciembre 2026</t>
  </si>
  <si>
    <t>5.2.4</t>
  </si>
  <si>
    <t>Lanzamiento escalonado de integraciones de validación inteligente en sistemas productivos</t>
  </si>
  <si>
    <t>5.2.5</t>
  </si>
  <si>
    <t>Monitoreo post-implementación enfocado en tiempos de respuesta (&lt;10s) y precisión (98.5%)</t>
  </si>
  <si>
    <t>Creación de AGENTS.md con la guía de contribución del repositorio</t>
  </si>
  <si>
    <t>Adopción y Cierre del Proyecto</t>
  </si>
  <si>
    <t>5.3.1</t>
  </si>
  <si>
    <t>Taller de retrospectiva y documentación de lecciones aprendidas</t>
  </si>
  <si>
    <t>enero 2027</t>
  </si>
  <si>
    <t>Commit 0332823</t>
  </si>
  <si>
    <t>5.3.2</t>
  </si>
  <si>
    <t>Firma del Acta de Cierre definitivo del proyecto</t>
  </si>
  <si>
    <t>Validaciones adicionales y catálogo inicial de la carta NOM-35</t>
  </si>
  <si>
    <t>Commit 171c58a</t>
  </si>
  <si>
    <r>
      <rPr>
        <color rgb="FF1155CC"/>
        <u/>
      </rPr>
      <t>171c58a</t>
    </r>
  </si>
  <si>
    <t>Instrucciones adicionales para la IA y catálogo inicial de INE</t>
  </si>
  <si>
    <t>Commit 0f80d74</t>
  </si>
  <si>
    <r>
      <rPr>
        <color rgb="FF1155CC"/>
        <u/>
      </rPr>
      <t>0f80d74</t>
    </r>
  </si>
  <si>
    <t>Alta de los tipos iniciales INE, CURP y carta NOM-35 (catálogo inicial del proyecto)</t>
  </si>
  <si>
    <t>Diseño y despliegue de campaña operativa para recolección de sellos y logos de proveedores</t>
  </si>
  <si>
    <t>Tipo de documento (primera aparición en el catálogo)</t>
  </si>
  <si>
    <r>
      <rPr>
        <color rgb="FF1155CC"/>
        <u/>
      </rPr>
      <t>8e1267e</t>
    </r>
  </si>
  <si>
    <t>Integración inicial de Amazon Textract</t>
  </si>
  <si>
    <t>Commit 4e4a734</t>
  </si>
  <si>
    <r>
      <rPr>
        <color rgb="FF1155CC"/>
        <u/>
      </rPr>
      <t>4e4a734</t>
    </r>
  </si>
  <si>
    <t>Eliminación de servicios de facturas 2026 del repositorio</t>
  </si>
  <si>
    <t>Cierre de campaña de sellos y optimización de procesamiento y limpieza de imágenes</t>
  </si>
  <si>
    <t>Commit 4b9e35e</t>
  </si>
  <si>
    <r>
      <rPr>
        <color rgb="FF1155CC"/>
        <u/>
      </rPr>
      <t>4b9e35e</t>
    </r>
  </si>
  <si>
    <t>Mejora de esquemas de extracción</t>
  </si>
  <si>
    <t>Commit 02e0c2b</t>
  </si>
  <si>
    <r>
      <rPr>
        <color rgb="FF1155CC"/>
        <u/>
      </rPr>
      <t>02e0c2b</t>
    </r>
  </si>
  <si>
    <t>Mejora de la lógica de procesamiento de documentos</t>
  </si>
  <si>
    <t>Commit 5f579e9</t>
  </si>
  <si>
    <r>
      <rPr>
        <color rgb="FF1155CC"/>
        <u/>
      </rPr>
      <t>5f579e9</t>
    </r>
  </si>
  <si>
    <t>Integración de Textract con Bedrock</t>
  </si>
  <si>
    <t>Commit b426f6b</t>
  </si>
  <si>
    <r>
      <rPr>
        <color rgb="FF1155CC"/>
        <u/>
      </rPr>
      <t>b426f6b</t>
    </r>
  </si>
  <si>
    <t>MOD 5</t>
  </si>
  <si>
    <t>Pruebas unitarias e integración de procesamiento y validación de documentos</t>
  </si>
  <si>
    <t>Commit d84329b</t>
  </si>
  <si>
    <r>
      <rPr>
        <color rgb="FF1155CC"/>
        <u/>
      </rPr>
      <t>d84329b</t>
    </r>
  </si>
  <si>
    <t>Stack de validación con integración S3 y Lambda de enriquecimiento</t>
  </si>
  <si>
    <t>Commit 4f24a9c</t>
  </si>
  <si>
    <r>
      <rPr>
        <color rgb="FF1155CC"/>
        <u/>
      </rPr>
      <t>4f24a9c</t>
    </r>
  </si>
  <si>
    <t>Alta del catálogo de expedientes completos de pedimentos (full-pedimentos-docs)</t>
  </si>
  <si>
    <r>
      <rPr>
        <color rgb="FF1155CC"/>
        <u/>
      </rPr>
      <t>cefb171</t>
    </r>
  </si>
  <si>
    <t>febrero 2027</t>
  </si>
  <si>
    <t>Scripts de procesamiento de documentos y consulta de resultados</t>
  </si>
  <si>
    <t>Commit 0dd611c</t>
  </si>
  <si>
    <r>
      <rPr>
        <color rgb="FF1155CC"/>
        <u/>
      </rPr>
      <t>0dd611c</t>
    </r>
  </si>
  <si>
    <t>marzo 2027</t>
  </si>
  <si>
    <t>Versionado de esquemas e información de tracking por documento</t>
  </si>
  <si>
    <t>Commit c861cad</t>
  </si>
  <si>
    <r>
      <rPr>
        <color rgb="FF1155CC"/>
        <u/>
      </rPr>
      <t>c861cad</t>
    </r>
  </si>
  <si>
    <t>Script de envío de documentos a la API de validación y actualización del catálogo aduanal</t>
  </si>
  <si>
    <t>Commit 7f51af9</t>
  </si>
  <si>
    <r>
      <rPr>
        <color rgb="FF1155CC"/>
        <u/>
      </rPr>
      <t>7f51af9</t>
    </r>
  </si>
  <si>
    <t>Normalización determinística de la liquidación aduanera con campos estructurados y mapeo de formularios</t>
  </si>
  <si>
    <t>Commit b87f5dc</t>
  </si>
  <si>
    <r>
      <rPr>
        <color rgb="FF1155CC"/>
        <u/>
      </rPr>
      <t>b87f5dc</t>
    </r>
  </si>
  <si>
    <t>Alta del tipo PEDIMENTO_ADUANAL</t>
  </si>
  <si>
    <r>
      <rPr>
        <color rgb="FF1155CC"/>
        <u/>
      </rPr>
      <t>7f51af9</t>
    </r>
  </si>
  <si>
    <t>Resolución de conceptos de liquidación aduanera con respaldo en contribuciones</t>
  </si>
  <si>
    <t>Commit a24d535</t>
  </si>
  <si>
    <r>
      <rPr>
        <color rgb="FF1155CC"/>
        <u/>
      </rPr>
      <t>a24d535</t>
    </r>
  </si>
  <si>
    <t>Lambda de consulta y búsqueda de documentos, documentación del API y manejo del tipo declarado por el usuario</t>
  </si>
  <si>
    <t>Commit 7554218</t>
  </si>
  <si>
    <t>Refactor de la configuración y validación de tipos de documento (catálogos por tipo)</t>
  </si>
  <si>
    <t>Commit c076cb7</t>
  </si>
  <si>
    <r>
      <rPr>
        <color rgb="FF1155CC"/>
        <u/>
      </rPr>
      <t>c076cb7</t>
    </r>
  </si>
  <si>
    <t>Eliminación del archivo obsoleto prompt-init.md</t>
  </si>
  <si>
    <t>Commit 18b7c1a</t>
  </si>
  <si>
    <r>
      <rPr>
        <color rgb="FF1155CC"/>
        <u/>
      </rPr>
      <t>18b7c1a</t>
    </r>
  </si>
  <si>
    <t>Extracción de segmentos con procesamiento concurrente</t>
  </si>
  <si>
    <t>Commit a7a5c9e</t>
  </si>
  <si>
    <r>
      <rPr>
        <color rgb="FF1155CC"/>
        <u/>
      </rPr>
      <t>a7a5c9e</t>
    </r>
  </si>
  <si>
    <t>Pipeline de documentos con caché y cifrado KMS</t>
  </si>
  <si>
    <t>Commit 6047d2e</t>
  </si>
  <si>
    <r>
      <rPr>
        <color rgb="FF1155CC"/>
        <u/>
      </rPr>
      <t>6047d2e</t>
    </r>
  </si>
  <si>
    <t>Metadatos de artefactos, exclusión de archivos TLS en .gitignore y mejora de AGENTS.md</t>
  </si>
  <si>
    <t>Commit 0f7ad01</t>
  </si>
  <si>
    <r>
      <rPr>
        <color rgb="FF1155CC"/>
        <u/>
      </rPr>
      <t>0f7ad01</t>
    </r>
  </si>
  <si>
    <t>Indexación de documentos y resolución de tipo en el procesamiento</t>
  </si>
  <si>
    <t>Commit a7c9107</t>
  </si>
  <si>
    <r>
      <rPr>
        <color rgb="FF1155CC"/>
        <u/>
      </rPr>
      <t>a7c9107</t>
    </r>
  </si>
  <si>
    <t>Script de tracking con opciones de ambiente y stack para resolver la máquina de estados</t>
  </si>
  <si>
    <t>Commit 8263ad1</t>
  </si>
  <si>
    <r>
      <rPr>
        <color rgb="FF1155CC"/>
        <u/>
      </rPr>
      <t>8263ad1</t>
    </r>
  </si>
  <si>
    <t>Script enviar-documento.sh con opciones de ambiente y stack</t>
  </si>
  <si>
    <t>Commit ca190aa</t>
  </si>
  <si>
    <r>
      <rPr>
        <color rgb="FF1155CC"/>
        <u/>
      </rPr>
      <t>ca190aa</t>
    </r>
  </si>
  <si>
    <t>Alta del tipo de documento ACUSE_VUCEM</t>
  </si>
  <si>
    <r>
      <rPr>
        <color rgb="FF1155CC"/>
        <u/>
      </rPr>
      <t>c076cb7</t>
    </r>
  </si>
  <si>
    <t>Alta del tipo de documento CEDULA_PROFESIONAL</t>
  </si>
  <si>
    <r>
      <rPr>
        <color rgb="FF1155CC"/>
        <u/>
      </rPr>
      <t>c076cb7</t>
    </r>
  </si>
  <si>
    <t>Alta del tipo de documento CFDI_GASTO_TERCERO</t>
  </si>
  <si>
    <r>
      <rPr>
        <color rgb="FF1155CC"/>
        <u/>
      </rPr>
      <t>c076cb7</t>
    </r>
  </si>
  <si>
    <t>Alta del tipo de documento COMPROBANTE_PAGO_ADUANAL</t>
  </si>
  <si>
    <r>
      <rPr>
        <color rgb="FF1155CC"/>
        <u/>
      </rPr>
      <t>c076cb7</t>
    </r>
  </si>
  <si>
    <t>Alta del tipo de documento CONSTANCIA_SITUACION_FISCAL</t>
  </si>
  <si>
    <r>
      <rPr>
        <color rgb="FF1155CC"/>
        <u/>
      </rPr>
      <t>c076cb7</t>
    </r>
  </si>
  <si>
    <t>Alta del tipo de documento CUENTA_GASTOS_AGENTE_ADUANAL</t>
  </si>
  <si>
    <r>
      <rPr>
        <color rgb="FF1155CC"/>
        <u/>
      </rPr>
      <t>c076cb7</t>
    </r>
  </si>
  <si>
    <t>Alta del tipo de documento DOCUMENTO_TRANSPORTE</t>
  </si>
  <si>
    <r>
      <rPr>
        <color rgb="FF1155CC"/>
        <u/>
      </rPr>
      <t>c076cb7</t>
    </r>
  </si>
  <si>
    <t>Alta del tipo de documento EXPEDIENTE_ADUANAL_MULTIDOCUMENTO</t>
  </si>
  <si>
    <r>
      <rPr>
        <color rgb="FF1155CC"/>
        <u/>
      </rPr>
      <t>c076cb7</t>
    </r>
  </si>
  <si>
    <t>Alta del tipo de documento FACTURA_AGENCIA_ADUANAL</t>
  </si>
  <si>
    <r>
      <rPr>
        <color rgb="FF1155CC"/>
        <u/>
      </rPr>
      <t>c076cb7</t>
    </r>
  </si>
  <si>
    <t>Alta del tipo de documento FACTURA_FLETE_EXTRANJERO</t>
  </si>
  <si>
    <r>
      <rPr>
        <color rgb="FF1155CC"/>
        <u/>
      </rPr>
      <t>c076cb7</t>
    </r>
  </si>
  <si>
    <t>Alta del tipo de documento FACTURA</t>
  </si>
  <si>
    <r>
      <rPr>
        <color rgb="FF1155CC"/>
        <u/>
      </rPr>
      <t>c076cb7</t>
    </r>
  </si>
  <si>
    <t>Alta del tipo de documento FACTURA_LOGISTICA</t>
  </si>
  <si>
    <r>
      <rPr>
        <color rgb="FF1155CC"/>
        <u/>
      </rPr>
      <t>c076cb7</t>
    </r>
  </si>
  <si>
    <t>Alta del tipo de documento FACTURA_PROVEEDOR_EXTRANJERO</t>
  </si>
  <si>
    <r>
      <rPr>
        <color rgb="FF1155CC"/>
        <u/>
      </rPr>
      <t>c076cb7</t>
    </r>
  </si>
  <si>
    <t>Alta del tipo de documento FORMATO_INTERNO_ALTA</t>
  </si>
  <si>
    <r>
      <rPr>
        <color rgb="FF1155CC"/>
        <u/>
      </rPr>
      <t>c076cb7</t>
    </r>
  </si>
  <si>
    <t>Alta del tipo de documento FORMATO_INTERNO_BAJA</t>
  </si>
  <si>
    <r>
      <rPr>
        <color rgb="FF1155CC"/>
        <u/>
      </rPr>
      <t>c076cb7</t>
    </r>
  </si>
  <si>
    <t>Alta del tipo de documento FORMATO_INTERNO_CAMBIO_DATOS</t>
  </si>
  <si>
    <r>
      <rPr>
        <color rgb="FF1155CC"/>
        <u/>
      </rPr>
      <t>c076cb7</t>
    </r>
  </si>
  <si>
    <t>Alta del tipo de documento OTRO</t>
  </si>
  <si>
    <r>
      <rPr>
        <color rgb="FF1155CC"/>
        <u/>
      </rPr>
      <t>c076cb7</t>
    </r>
  </si>
  <si>
    <t>Alta del tipo de documento PASAPORTE</t>
  </si>
  <si>
    <r>
      <rPr>
        <color rgb="FF1155CC"/>
        <u/>
      </rPr>
      <t>c076cb7</t>
    </r>
  </si>
  <si>
    <t>Alta del tipo de documento PERMISO_CERTIFICADO_SANITARIO</t>
  </si>
  <si>
    <r>
      <rPr>
        <color rgb="FF1155CC"/>
        <u/>
      </rPr>
      <t>c076cb7</t>
    </r>
  </si>
  <si>
    <t>Alta del tipo de documento POLIZA_SEGURO</t>
  </si>
  <si>
    <r>
      <rPr>
        <color rgb="FF1155CC"/>
        <u/>
      </rPr>
      <t>c076cb7</t>
    </r>
  </si>
  <si>
    <t>Plantillas base de catálogo (_TEMPLATE y _shared)</t>
  </si>
  <si>
    <r>
      <rPr>
        <color rgb="FF1155CC"/>
        <u/>
      </rPr>
      <t>c076cb7</t>
    </r>
  </si>
  <si>
    <t>Documentación y scripts con selección de ambiente producción / desarrollo</t>
  </si>
  <si>
    <t>Commit 9d213d5</t>
  </si>
  <si>
    <r>
      <rPr>
        <color rgb="FF1155CC"/>
        <u/>
      </rPr>
      <t>9d213d5</t>
    </r>
  </si>
  <si>
    <t>Actualización de plantillas de procesamiento y configuraciones compartidas</t>
  </si>
  <si>
    <t>Commit 81c11cc</t>
  </si>
  <si>
    <r>
      <rPr>
        <color rgb="FF1155CC"/>
        <u/>
      </rPr>
      <t>81c11cc</t>
    </r>
  </si>
  <si>
    <t>Truncado de PDF y alarmas CloudWatch para controlar el costo de la Lambda de enriquecimiento</t>
  </si>
  <si>
    <t>Commit 4fca067</t>
  </si>
  <si>
    <r>
      <rPr>
        <color rgb="FF1155CC"/>
        <u/>
      </rPr>
      <t>4fca067</t>
    </r>
  </si>
  <si>
    <t>Interacción con Bedrock mediante tool calls estructurados</t>
  </si>
  <si>
    <t>Commit 8cabef9</t>
  </si>
  <si>
    <r>
      <rPr>
        <color rgb="FF1155CC"/>
        <u/>
      </rPr>
      <t>8cabef9</t>
    </r>
  </si>
  <si>
    <t>Carga de documentos inline y por URL prefirmada para archivos grandes</t>
  </si>
  <si>
    <t>Commit 2b8e5d4</t>
  </si>
  <si>
    <r>
      <rPr>
        <color rgb="FF1155CC"/>
        <u/>
      </rPr>
      <t>2b8e5d4</t>
    </r>
  </si>
  <si>
    <t>Extracción detallada de campos y validación de pedimentos</t>
  </si>
  <si>
    <t>Commit 68e0c40</t>
  </si>
  <si>
    <r>
      <rPr>
        <color rgb="FF1155CC"/>
        <u/>
      </rPr>
      <t>68e0c40</t>
    </r>
  </si>
  <si>
    <t>Documentación y scripts de pruebas para la validación de pedimentos</t>
  </si>
  <si>
    <t>Commit 0ef1424</t>
  </si>
  <si>
    <r>
      <rPr>
        <color rgb="FF1155CC"/>
        <u/>
      </rPr>
      <t>0ef1424</t>
    </r>
  </si>
  <si>
    <t>Pruebas E2E y análisis de sensibilidad del esquema PEDIMENTO_ADUANAL</t>
  </si>
  <si>
    <t>Commit 88ac9b0</t>
  </si>
  <si>
    <r>
      <rPr>
        <color rgb="FF1155CC"/>
        <u/>
      </rPr>
      <t>88ac9b0</t>
    </r>
  </si>
  <si>
    <t>Procesamiento y validación de liquidación con soporte del DSL field-centric</t>
  </si>
  <si>
    <t>Commit 2d5b514</t>
  </si>
  <si>
    <r>
      <rPr>
        <color rgb="FF1155CC"/>
        <u/>
      </rPr>
      <t>2d5b514</t>
    </r>
  </si>
  <si>
    <t>Proyección escalar compacta y conteo de arreglos para entidades del DSL field-centric</t>
  </si>
  <si>
    <t>Commit db3f2e5</t>
  </si>
  <si>
    <r>
      <rPr>
        <color rgb="FF1155CC"/>
        <u/>
      </rPr>
      <t>db3f2e5</t>
    </r>
  </si>
  <si>
    <t>Refactor de la estructura del código para mejor legibilidad y mantenimiento</t>
  </si>
  <si>
    <t>Commit 11dc591</t>
  </si>
  <si>
    <r>
      <rPr>
        <color rgb="FF1155CC"/>
        <u/>
      </rPr>
      <t>11dc591</t>
    </r>
  </si>
  <si>
    <t>Actualización de la lógica del pipeline aduanero y su documentación</t>
  </si>
  <si>
    <t>Commit 4f2a894</t>
  </si>
  <si>
    <r>
      <rPr>
        <color rgb="FF1155CC"/>
        <u/>
      </rPr>
      <t>4f2a894</t>
    </r>
  </si>
  <si>
    <t>Alias de conceptos y mapeos de origen en el esquema PEDIMENTO_ADUANAL para el DSL field-centric</t>
  </si>
  <si>
    <t>Commit cc5c1e2</t>
  </si>
  <si>
    <r>
      <rPr>
        <color rgb="FF1155CC"/>
        <u/>
      </rPr>
      <t>cc5c1e2</t>
    </r>
  </si>
  <si>
    <t>Validación del campo NUMERO_PEDIMENTO y mejora de la resolución de hojas del esquema</t>
  </si>
  <si>
    <t>Commit 6f094b1</t>
  </si>
  <si>
    <r>
      <rPr>
        <color rgb="FF1155CC"/>
        <u/>
      </rPr>
      <t>6f094b1</t>
    </r>
  </si>
  <si>
    <t>Recuperación de componentes del pedimento con validación de longitudes esperadas</t>
  </si>
  <si>
    <t>Commit 0f44ee3</t>
  </si>
  <si>
    <r>
      <rPr>
        <color rgb="FF1155CC"/>
        <u/>
      </rPr>
      <t>0f44ee3</t>
    </r>
  </si>
  <si>
    <t>Versión v1 del esquema PEDIMENTO_ADUANAL con DSL field-centric</t>
  </si>
  <si>
    <r>
      <rPr>
        <color rgb="FF1155CC"/>
        <u/>
      </rPr>
      <t>11dc591</t>
    </r>
  </si>
  <si>
    <t>Eliminación de pruebas y configuraciones obsoletas</t>
  </si>
  <si>
    <t>Commit 785b8f3</t>
  </si>
  <si>
    <r>
      <rPr>
        <color rgb="FF1155CC"/>
        <u/>
      </rPr>
      <t>785b8f3</t>
    </r>
  </si>
  <si>
    <t>Hints y reglas de validación detalladas en el esquema de pedimento; ajuste de expectativas de pruebas</t>
  </si>
  <si>
    <t>Commit 30600d4</t>
  </si>
  <si>
    <r>
      <rPr>
        <color rgb="FF1155CC"/>
        <u/>
      </rPr>
      <t>30600d4</t>
    </r>
  </si>
  <si>
    <t>Recuperación por código QR para PEDIMENTO_ADUANAL (módulo qr_recovery)</t>
  </si>
  <si>
    <t>Commit aa73af4</t>
  </si>
  <si>
    <r>
      <rPr>
        <color rgb="FF1155CC"/>
        <u/>
      </rPr>
      <t>aa73af4</t>
    </r>
  </si>
  <si>
    <t>Formato de comandos en AGENTS.md, mantenedores en package.json y comentarios del stack</t>
  </si>
  <si>
    <t>Commit 34eb1e7</t>
  </si>
  <si>
    <r>
      <rPr>
        <color rgb="FF1155CC"/>
        <u/>
      </rPr>
      <t>34eb1e7</t>
    </r>
  </si>
  <si>
    <t>Archivo de configuración de ejemplo (.env) y exclusión en .gitignore</t>
  </si>
  <si>
    <t>Commit 6bcb9ef</t>
  </si>
  <si>
    <r>
      <rPr>
        <color rgb="FF1155CC"/>
        <u/>
      </rPr>
      <t>6bcb9ef</t>
    </r>
  </si>
  <si>
    <t>Corrección del tipo de hash de assets en el empaquetado de la Lambda de enriquecimiento</t>
  </si>
  <si>
    <t>Commit 53c2562</t>
  </si>
  <si>
    <r>
      <rPr>
        <color rgb="FF1155CC"/>
        <u/>
      </rPr>
      <t>53c2562</t>
    </r>
  </si>
  <si>
    <t>Ampliación de la recuperación QR del pedimento con nuevos campos, reglas y dependencias</t>
  </si>
  <si>
    <t>Commit 27a9c0c</t>
  </si>
  <si>
    <r>
      <rPr>
        <color rgb="FF1155CC"/>
        <u/>
      </rPr>
      <t>27a9c0c</t>
    </r>
  </si>
  <si>
    <t>Eliminación del script obsoleto default-bedrock-invoke-index.py</t>
  </si>
  <si>
    <t>Commit 5d766e3</t>
  </si>
  <si>
    <r>
      <rPr>
        <color rgb="FF1155CC"/>
        <u/>
      </rPr>
      <t>5d766e3</t>
    </r>
  </si>
  <si>
    <t>Procesamiento agnóstico de modelo con la API Converse de Bedrock</t>
  </si>
  <si>
    <t>Commit cede5dc</t>
  </si>
  <si>
    <r>
      <rPr>
        <color rgb="FF1155CC"/>
        <u/>
      </rPr>
      <t>cede5dc</t>
    </r>
  </si>
  <si>
    <t>Esquema y reglas de CONSTANCIA_SITUACION_FISCAL; override de modelo en el procesamiento</t>
  </si>
  <si>
    <t>Commit 11b1874</t>
  </si>
  <si>
    <r>
      <rPr>
        <color rgb="FF1155CC"/>
        <u/>
      </rPr>
      <t>11b1874</t>
    </r>
  </si>
  <si>
    <t>README y esquema de constancia; soporte de override de modelo en el script de envío y pruebas</t>
  </si>
  <si>
    <t>Commit ff57473</t>
  </si>
  <si>
    <r>
      <rPr>
        <color rgb="FF1155CC"/>
        <u/>
      </rPr>
      <t>ff57473</t>
    </r>
  </si>
  <si>
    <t>Esquema de constancia v5.1.0 con campos de recuperación QR y documentación del procesamiento QR</t>
  </si>
  <si>
    <t>Commit cdabcf0</t>
  </si>
  <si>
    <r>
      <rPr>
        <color rgb="FF1155CC"/>
        <u/>
      </rPr>
      <t>cdabcf0</t>
    </r>
  </si>
  <si>
    <t>Mejora del mecanismo de recuperación QR y soporte de FACTURA_HONORARIOS</t>
  </si>
  <si>
    <t>Commit 96c6a2f</t>
  </si>
  <si>
    <r>
      <rPr>
        <color rgb="FF1155CC"/>
        <u/>
      </rPr>
      <t>96c6a2f</t>
    </r>
  </si>
  <si>
    <t>Alta del tipo FACTURA_HONORARIOS</t>
  </si>
  <si>
    <r>
      <rPr>
        <color rgb="FF1155CC"/>
        <u/>
      </rPr>
      <t>96c6a2f</t>
    </r>
  </si>
  <si>
    <t>Soporte de procesamiento de XML en el pipeline y tipo FACTURA_HONORARIOS_XML</t>
  </si>
  <si>
    <t>Commit a9e40a3</t>
  </si>
  <si>
    <r>
      <rPr>
        <color rgb="FF1155CC"/>
        <u/>
      </rPr>
      <t>a9e40a3</t>
    </r>
  </si>
  <si>
    <t>Campo processingMs para medir la duración del procesamiento</t>
  </si>
  <si>
    <t>Commit 40edd36</t>
  </si>
  <si>
    <r>
      <rPr>
        <color rgb="FF1155CC"/>
        <u/>
      </rPr>
      <t>40edd36</t>
    </r>
  </si>
  <si>
    <t>Campos sourceFormat y processingMs en el detalle de los documentos</t>
  </si>
  <si>
    <t>Commit c3f5171</t>
  </si>
  <si>
    <r>
      <rPr>
        <color rgb="FF1155CC"/>
        <u/>
      </rPr>
      <t>c3f5171</t>
    </r>
  </si>
  <si>
    <t>Manejo de tipos de documento y extracción tabular; plantillas tabular y XML</t>
  </si>
  <si>
    <t>Commit f5e0049</t>
  </si>
  <si>
    <r>
      <rPr>
        <color rgb="FF1155CC"/>
        <u/>
      </rPr>
      <t>f5e0049</t>
    </r>
  </si>
  <si>
    <t>Tipos de archivo explícitos en el consumidor SQS y la Lambda de enriquecimiento</t>
  </si>
  <si>
    <t>Commit eca7a59</t>
  </si>
  <si>
    <r>
      <rPr>
        <color rgb="FF1155CC"/>
        <u/>
      </rPr>
      <t>eca7a59</t>
    </r>
  </si>
  <si>
    <t>Soporte de imágenes en el pipeline de expedientes</t>
  </si>
  <si>
    <t>Commit 939a6c9</t>
  </si>
  <si>
    <r>
      <rPr>
        <color rgb="FF1155CC"/>
        <u/>
      </rPr>
      <t>939a6c9</t>
    </r>
  </si>
  <si>
    <t>Alta del tipo FACTURA_HONORARIOS_XML</t>
  </si>
  <si>
    <r>
      <rPr>
        <color rgb="FF1155CC"/>
        <u/>
      </rPr>
      <t>a9e40a3</t>
    </r>
  </si>
  <si>
    <t>Alta del tipo INE como esquema propio con todos los campos</t>
  </si>
  <si>
    <r>
      <rPr>
        <color rgb="FF1155CC"/>
        <u/>
      </rPr>
      <t>f5e0049</t>
    </r>
  </si>
  <si>
    <t>Plantillas de catálogo para extracción tabular y XML (_TEMPLATE_TABULAR, _TEMPLATE_XML)</t>
  </si>
  <si>
    <r>
      <rPr>
        <color rgb="FF1155CC"/>
        <u/>
      </rPr>
      <t>f5e0049</t>
    </r>
  </si>
  <si>
    <t>Script de administración de apps: registro y gestión de API keys</t>
  </si>
  <si>
    <t>Commit 335bb6c</t>
  </si>
  <si>
    <r>
      <rPr>
        <color rgb="FF1155CC"/>
        <u/>
      </rPr>
      <t>335bb6c</t>
    </r>
  </si>
  <si>
    <t>Seguimiento y gestión de aplicaciones</t>
  </si>
  <si>
    <t>Commit cde3624</t>
  </si>
  <si>
    <r>
      <rPr>
        <color rgb="FF1155CC"/>
        <u/>
      </rPr>
      <t>cde3624</t>
    </r>
  </si>
  <si>
    <t>Endpoint para obtener la URL prefirmada del archivo original subido</t>
  </si>
  <si>
    <t>Commit 64ecde5</t>
  </si>
  <si>
    <r>
      <rPr>
        <color rgb="FF1155CC"/>
        <u/>
      </rPr>
      <t>64ecde5</t>
    </r>
  </si>
  <si>
    <t>Auditoría de costo AWS por documento</t>
  </si>
  <si>
    <t>Commit d6d3c55</t>
  </si>
  <si>
    <r>
      <rPr>
        <color rgb="FF1155CC"/>
        <u/>
      </rPr>
      <t>d6d3c55</t>
    </r>
  </si>
  <si>
    <t>Alta del tipo CERTIFICADO_POLIZA (seguros)</t>
  </si>
  <si>
    <r>
      <rPr>
        <color rgb="FF1155CC"/>
        <u/>
      </rPr>
      <t>d6d3c55</t>
    </r>
  </si>
  <si>
    <t>Interfaz de línea de comandos y bitácora de salida de procesar-docs.py</t>
  </si>
  <si>
    <t>Commit c3a4930</t>
  </si>
  <si>
    <r>
      <rPr>
        <color rgb="FF1155CC"/>
        <u/>
      </rPr>
      <t>c3a4930</t>
    </r>
  </si>
  <si>
    <t>Estructura de salida e historial de procesamiento en procesar-docs.py</t>
  </si>
  <si>
    <t>Commit 5610fd0</t>
  </si>
  <si>
    <r>
      <rPr>
        <color rgb="FF1155CC"/>
        <u/>
      </rPr>
      <t>5610fd0</t>
    </r>
  </si>
  <si>
    <t>Refactor de la estructura de salida y bitácora del procesamiento de documentos</t>
  </si>
  <si>
    <t>Commit c3a79e5</t>
  </si>
  <si>
    <r>
      <rPr>
        <color rgb="FF1155CC"/>
        <u/>
      </rPr>
      <t>c3a79e5</t>
    </r>
  </si>
  <si>
    <t>Soporte de facturas de flete extranjero y documentación</t>
  </si>
  <si>
    <t>Commit 5660b81</t>
  </si>
  <si>
    <r>
      <rPr>
        <color rgb="FF1155CC"/>
        <u/>
      </rPr>
      <t>5660b81</t>
    </r>
  </si>
  <si>
    <t>Soporte de model_id en la extracción con Bedrock</t>
  </si>
  <si>
    <t>Commit 9b5b013</t>
  </si>
  <si>
    <r>
      <rPr>
        <color rgb="FF1155CC"/>
        <u/>
      </rPr>
      <t>9b5b013</t>
    </r>
  </si>
  <si>
    <t>Rediseño del tipo FACTURA_FLETE_EXTRANJERO para formatos que varían por proveedor</t>
  </si>
  <si>
    <r>
      <rPr>
        <color rgb="FF1155CC"/>
        <u/>
      </rPr>
      <t>5660b81</t>
    </r>
  </si>
  <si>
    <t>Extracción de páginas específicas de los PDF del dataset de pedimentos (qpdf)</t>
  </si>
  <si>
    <t>Soporte de model_ids para override de modelo por etapa en la extracción</t>
  </si>
  <si>
    <t>Commit c0f5963</t>
  </si>
  <si>
    <r>
      <rPr>
        <color rgb="FF1155CC"/>
        <u/>
      </rPr>
      <t>c0f5963</t>
    </r>
  </si>
  <si>
    <t>Mecanismo de fallback de modelos en las llamadas a Bedrock</t>
  </si>
  <si>
    <t>Commit 8809385</t>
  </si>
  <si>
    <t>Fallback automático de modelos en la integración con Bedrock</t>
  </si>
  <si>
    <t>Commit ba9e5a5</t>
  </si>
  <si>
    <r>
      <rPr>
        <color rgb="FF1155CC"/>
        <u/>
      </rPr>
      <t>ba9e5a5</t>
    </r>
  </si>
  <si>
    <t>Registro de prompts de entrada y salida de las llamadas a Bedrock</t>
  </si>
  <si>
    <t>Commit 7fbf056</t>
  </si>
  <si>
    <r>
      <rPr>
        <color rgb="FF1155CC"/>
        <u/>
      </rPr>
      <t>7fbf056</t>
    </r>
  </si>
  <si>
    <t>Esquema XML de pedimento y documento de campos faltantes (issues_xml_pedimento.md)</t>
  </si>
  <si>
    <t>issues_xml_pedimento.md</t>
  </si>
  <si>
    <t>Catálogo PEDIMENTO_ADUANAL_XML y documentación relacionada</t>
  </si>
  <si>
    <t>Commit 008e17e</t>
  </si>
  <si>
    <r>
      <rPr>
        <color rgb="FF1155CC"/>
        <u/>
      </rPr>
      <t>008e17e</t>
    </r>
  </si>
  <si>
    <t>Alta del tipo PEDIMENTO_ADUANAL_XML</t>
  </si>
  <si>
    <r>
      <rPr>
        <color rgb="FF1155CC"/>
        <u/>
      </rPr>
      <t>008e17e</t>
    </r>
  </si>
  <si>
    <t>Reportes de costo y uso</t>
  </si>
  <si>
    <t>Commit 80d3378</t>
  </si>
  <si>
    <r>
      <rPr>
        <color rgb="FF1155CC"/>
        <u/>
      </rPr>
      <t>80d3378</t>
    </r>
  </si>
  <si>
    <t>Módulo de estimación de tokens para segmentación de PDF</t>
  </si>
  <si>
    <t>Commit 261cb70</t>
  </si>
  <si>
    <r>
      <rPr>
        <color rgb="FF1155CC"/>
        <u/>
      </rPr>
      <t>261cb70</t>
    </r>
  </si>
  <si>
    <t>Análisis y puntuación de páginas para la selección de páginas a procesar</t>
  </si>
  <si>
    <t>Commit 093209d</t>
  </si>
  <si>
    <r>
      <rPr>
        <color rgb="FF1155CC"/>
        <u/>
      </rPr>
      <t>093209d</t>
    </r>
  </si>
  <si>
    <t>Selección de páginas con parámetros min_pages y expected_pages</t>
  </si>
  <si>
    <t>Commit c594415</t>
  </si>
  <si>
    <r>
      <rPr>
        <color rgb="FF1155CC"/>
        <u/>
      </rPr>
      <t>c594415</t>
    </r>
  </si>
  <si>
    <t>Indexación por llave única en el procesamiento de documentos</t>
  </si>
  <si>
    <t>Commit d4bcd2c</t>
  </si>
  <si>
    <r>
      <rPr>
        <color rgb="FF1155CC"/>
        <u/>
      </rPr>
      <t>d4bcd2c</t>
    </r>
  </si>
  <si>
    <t>Detección de límites de documento con marcadores de inicio y fin</t>
  </si>
  <si>
    <t>Commit 971bc31</t>
  </si>
  <si>
    <r>
      <rPr>
        <color rgb="FF1155CC"/>
        <u/>
      </rPr>
      <t>971bc31</t>
    </r>
  </si>
  <si>
    <t>Flujo de subida unificado con URLs prefirmadas de S3</t>
  </si>
  <si>
    <t>Commit dd54437</t>
  </si>
  <si>
    <r>
      <rPr>
        <color rgb="FF1155CC"/>
        <u/>
      </rPr>
      <t>dd54437</t>
    </r>
  </si>
  <si>
    <t>Simplificación de la subida (sin encabezados innecesarios) y actualización de documentación</t>
  </si>
  <si>
    <t>Commit 4656e4a</t>
  </si>
  <si>
    <r>
      <rPr>
        <color rgb="FF1155CC"/>
        <u/>
      </rPr>
      <t>4656e4a</t>
    </r>
  </si>
  <si>
    <t>Cambio del endpoint /upload a /documents</t>
  </si>
  <si>
    <t>Commit 9f47ef8</t>
  </si>
  <si>
    <r>
      <rPr>
        <color rgb="FF1155CC"/>
        <u/>
      </rPr>
      <t>9f47ef8</t>
    </r>
  </si>
  <si>
    <t>Exclusión del directorio /certs en .gitignore</t>
  </si>
  <si>
    <t>Commit c53969a</t>
  </si>
  <si>
    <r>
      <rPr>
        <color rgb="FF1155CC"/>
        <u/>
      </rPr>
      <t>c53969a</t>
    </r>
  </si>
  <si>
    <t>Documentación y verificación de cifrado en la integración S3 y SQS</t>
  </si>
  <si>
    <t>Commit c3fe12f</t>
  </si>
  <si>
    <r>
      <rPr>
        <color rgb="FF1155CC"/>
        <u/>
      </rPr>
      <t>c3fe12f</t>
    </r>
  </si>
  <si>
    <t>Corrección de fallo en archivo grande y deploy con dominio propio del API</t>
  </si>
  <si>
    <t>Procesamiento y mapeo de pedimentos (PEDIMENTO_ERP)</t>
  </si>
  <si>
    <t>Commit 00ac4fc</t>
  </si>
  <si>
    <r>
      <rPr>
        <color rgb="FF1155CC"/>
        <u/>
      </rPr>
      <t>00ac4fc</t>
    </r>
  </si>
  <si>
    <t>Normalización y validación de metadata para subidas a S3</t>
  </si>
  <si>
    <t>Commit 8b1c885</t>
  </si>
  <si>
    <r>
      <rPr>
        <color rgb="FF1155CC"/>
        <u/>
      </rPr>
      <t>8b1c885</t>
    </r>
  </si>
  <si>
    <t>Campos detallados de factura y comentarios de proveedor en el esquema</t>
  </si>
  <si>
    <t>Commit c267fe0</t>
  </si>
  <si>
    <r>
      <rPr>
        <color rgb="FF1155CC"/>
        <u/>
      </rPr>
      <t>c267fe0</t>
    </r>
  </si>
  <si>
    <t>Nuevas reglas de validación de metadata y ajuste del procesamiento</t>
  </si>
  <si>
    <t>Commit ffd2630</t>
  </si>
  <si>
    <r>
      <rPr>
        <color rgb="FF1155CC"/>
        <u/>
      </rPr>
      <t>ffd2630</t>
    </r>
  </si>
  <si>
    <t>Endpoint PATCH /documents/{id}/metadata para actualizar metadata externa</t>
  </si>
  <si>
    <t>Commit 15b1fe9</t>
  </si>
  <si>
    <r>
      <rPr>
        <color rgb="FF1155CC"/>
        <u/>
      </rPr>
      <t>15b1fe9</t>
    </r>
  </si>
  <si>
    <t>Mejora del endpoint PATCH de metadata y su manejo</t>
  </si>
  <si>
    <t>Commit 8c44a11</t>
  </si>
  <si>
    <r>
      <rPr>
        <color rgb="FF1155CC"/>
        <u/>
      </rPr>
      <t>8c44a11</t>
    </r>
  </si>
  <si>
    <t>Cambio del tipo PEDIMENTO_ADUANAL a PEDIMENTO_ERP en documentación y especificaciones del API</t>
  </si>
  <si>
    <t>Commit 97aa22c</t>
  </si>
  <si>
    <r>
      <rPr>
        <color rgb="FF1155CC"/>
        <u/>
      </rPr>
      <t>97aa22c</t>
    </r>
  </si>
  <si>
    <t>Refactor del manejo de confianza (confidence) en el pipeline</t>
  </si>
  <si>
    <t>Commit 6d568e2</t>
  </si>
  <si>
    <r>
      <rPr>
        <color rgb="FF1155CC"/>
        <u/>
      </rPr>
      <t>6d568e2</t>
    </r>
  </si>
  <si>
    <t>Alta del tipo PEDIMENTO_ERP (nombres y estructura del ERP)</t>
  </si>
  <si>
    <r>
      <rPr>
        <color rgb="FF1155CC"/>
        <u/>
      </rPr>
      <t>00ac4fc</t>
    </r>
  </si>
  <si>
    <t>Script de envío con lectura automática de .env.production y ejemplos en API_RESUMEN.md</t>
  </si>
  <si>
    <t>API_RESUMEN.md</t>
  </si>
  <si>
    <t>Reglas de confianza y validación en todo el procesamiento</t>
  </si>
  <si>
    <t>Commit e955b97</t>
  </si>
  <si>
    <r>
      <rPr>
        <color rgb="FF1155CC"/>
        <u/>
      </rPr>
      <t>e955b97</t>
    </r>
  </si>
  <si>
    <t>Validación por fila de item_fields</t>
  </si>
  <si>
    <t>Commit 4d92e9c</t>
  </si>
  <si>
    <r>
      <rPr>
        <color rgb="FF1155CC"/>
        <u/>
      </rPr>
      <t>4d92e9c</t>
    </r>
  </si>
  <si>
    <t>Documentación y scripts para tablas de catálogo por ambiente</t>
  </si>
  <si>
    <t>Commit bc8acbf</t>
  </si>
  <si>
    <r>
      <rPr>
        <color rgb="FF1155CC"/>
        <u/>
      </rPr>
      <t>bc8acbf</t>
    </r>
  </si>
  <si>
    <t>Manejo de documentos duplicados y reporte de confianza por fila</t>
  </si>
  <si>
    <t>Commit 99d6872</t>
  </si>
  <si>
    <r>
      <rPr>
        <color rgb="FF1155CC"/>
        <u/>
      </rPr>
      <t>99d6872</t>
    </r>
  </si>
  <si>
    <t>Pruebas unitarias para varias facturas dentro de un mismo PDF</t>
  </si>
  <si>
    <t>Commit c2ba884</t>
  </si>
  <si>
    <r>
      <rPr>
        <color rgb="FF1155CC"/>
        <u/>
      </rPr>
      <t>c2ba884</t>
    </r>
  </si>
  <si>
    <t>Interfaz de documentos con soporte de lectura múltiple por archivo</t>
  </si>
  <si>
    <t>Commit 5b58614</t>
  </si>
  <si>
    <r>
      <rPr>
        <color rgb="FF1155CC"/>
        <u/>
      </rPr>
      <t>5b58614</t>
    </r>
  </si>
  <si>
    <t>Confianza de documentos y reglas entre documentos</t>
  </si>
  <si>
    <t>Commit 7e2942e</t>
  </si>
  <si>
    <r>
      <rPr>
        <color rgb="FF1155CC"/>
        <u/>
      </rPr>
      <t>7e2942e</t>
    </r>
  </si>
  <si>
    <t>Resumen de confianza compartido y reporte de confianza</t>
  </si>
  <si>
    <t>Commit a1d4a17</t>
  </si>
  <si>
    <r>
      <rPr>
        <color rgb="FF1155CC"/>
        <u/>
      </rPr>
      <t>a1d4a17</t>
    </r>
  </si>
  <si>
    <t>Ciclo de vida y manejo de estatus del procesamiento</t>
  </si>
  <si>
    <t>Commit bf384c8</t>
  </si>
  <si>
    <r>
      <rPr>
        <color rgb="FF1155CC"/>
        <u/>
      </rPr>
      <t>bf384c8</t>
    </r>
  </si>
  <si>
    <t>Optimización de tokens de entrada/salida y tiempo; confidence en todos los campos</t>
  </si>
  <si>
    <t>Configuraciones de procesamiento y scripts de etiquetado de costos</t>
  </si>
  <si>
    <t>Commit f6842ef</t>
  </si>
  <si>
    <r>
      <rPr>
        <color rgb="FF1155CC"/>
        <u/>
      </rPr>
      <t>f6842ef</t>
    </r>
  </si>
  <si>
    <t>Script para etiquetar recursos DynamoDB con el stack de costo</t>
  </si>
  <si>
    <t>Commit 558cf45</t>
  </si>
  <si>
    <r>
      <rPr>
        <color rgb="FF1155CC"/>
        <u/>
      </rPr>
      <t>558cf45</t>
    </r>
  </si>
  <si>
    <t>Migración al motor v2 (en revisión)</t>
  </si>
  <si>
    <t>Commit 93e0794</t>
  </si>
  <si>
    <r>
      <rPr>
        <color rgb="FF1155CC"/>
        <u/>
      </rPr>
      <t>93e0794</t>
    </r>
  </si>
  <si>
    <t>Desglose de costo por stack CloudFormation y permisos IAM para activar etiquetas de costo</t>
  </si>
  <si>
    <t>Resolución del modelo del segmentador y manejo de tokens</t>
  </si>
  <si>
    <t>Commit 146984b</t>
  </si>
  <si>
    <r>
      <rPr>
        <color rgb="FF1155CC"/>
        <u/>
      </rPr>
      <t>146984b</t>
    </r>
  </si>
  <si>
    <t>Ajustes de funcionalidad y rendimiento (cambios de permisos)</t>
  </si>
  <si>
    <t>Commit 456a943</t>
  </si>
  <si>
    <r>
      <rPr>
        <color rgb="FF1155CC"/>
        <u/>
      </rPr>
      <t>456a943</t>
    </r>
  </si>
  <si>
    <t>Servidor local de documentación del API con Scalar y Swagger UI</t>
  </si>
  <si>
    <t>Commit 8e91e37</t>
  </si>
  <si>
    <r>
      <rPr>
        <color rgb="FF1155CC"/>
        <u/>
      </rPr>
      <t>8e91e37</t>
    </r>
  </si>
  <si>
    <t>KPI de páginas totales procesadas en el reporte</t>
  </si>
  <si>
    <t>Commit 6049d4d</t>
  </si>
  <si>
    <r>
      <rPr>
        <color rgb="FF1155CC"/>
        <u/>
      </rPr>
      <t>6049d4d</t>
    </r>
  </si>
  <si>
    <t>Refactor del manejo y sincronización de catálogos (carpetas base y custom)</t>
  </si>
  <si>
    <t>Commit 6555bf2</t>
  </si>
  <si>
    <r>
      <rPr>
        <color rgb="FF1155CC"/>
        <u/>
      </rPr>
      <t>6555bf2</t>
    </r>
  </si>
  <si>
    <t>Catálogo base de identidad: tipo ACTA_NACIMIENTO</t>
  </si>
  <si>
    <r>
      <rPr>
        <color rgb="FF1155CC"/>
        <u/>
      </rPr>
      <t>6555bf2</t>
    </r>
  </si>
  <si>
    <t>Catálogo base de identidad: tipo COMPROBANTE_DOMICILIO</t>
  </si>
  <si>
    <r>
      <rPr>
        <color rgb="FF1155CC"/>
        <u/>
      </rPr>
      <t>6555bf2</t>
    </r>
  </si>
  <si>
    <t>Catálogo base de identidad: tipo CURP</t>
  </si>
  <si>
    <r>
      <rPr>
        <color rgb="FF1155CC"/>
        <u/>
      </rPr>
      <t>6555bf2</t>
    </r>
  </si>
  <si>
    <t>Catálogo base de identidad: tipo IDENTIFICACION</t>
  </si>
  <si>
    <r>
      <rPr>
        <color rgb="FF1155CC"/>
        <u/>
      </rPr>
      <t>6555bf2</t>
    </r>
  </si>
  <si>
    <t>Catálogo base de identidad: tipo INE</t>
  </si>
  <si>
    <r>
      <rPr>
        <color rgb="FF1155CC"/>
        <u/>
      </rPr>
      <t>6555bf2</t>
    </r>
  </si>
  <si>
    <t>Catálogo base de identidad: tipo PASAPORTE</t>
  </si>
  <si>
    <r>
      <rPr>
        <color rgb="FF1155CC"/>
        <u/>
      </rPr>
      <t>6555bf2</t>
    </r>
  </si>
  <si>
    <t>Catálogo base de recursos humanos: tipo CEDULA_PROFESIONAL</t>
  </si>
  <si>
    <r>
      <rPr>
        <color rgb="FF1155CC"/>
        <u/>
      </rPr>
      <t>6555bf2</t>
    </r>
  </si>
  <si>
    <t>Catálogo base de recursos humanos: tipo COMPROBANTE_ESTUDIOS</t>
  </si>
  <si>
    <r>
      <rPr>
        <color rgb="FF1155CC"/>
        <u/>
      </rPr>
      <t>6555bf2</t>
    </r>
  </si>
  <si>
    <t>Catálogo base de recursos humanos: tipo CONSTANCIA_NSS</t>
  </si>
  <si>
    <r>
      <rPr>
        <color rgb="FF1155CC"/>
        <u/>
      </rPr>
      <t>6555bf2</t>
    </r>
  </si>
  <si>
    <t>Corrección de gráfica de volumen diario de documentos en el reporte</t>
  </si>
  <si>
    <t>Fixtures CFDI XML sintéticos y pruebas ampliadas</t>
  </si>
  <si>
    <t>Commit f63b187</t>
  </si>
  <si>
    <r>
      <rPr>
        <color rgb="FF1155CC"/>
        <u/>
      </rPr>
      <t>f63b187</t>
    </r>
  </si>
  <si>
    <t>Reporte con seguimiento del uso de IA y respaldo manual</t>
  </si>
  <si>
    <t>Commit 5af6d38</t>
  </si>
  <si>
    <r>
      <rPr>
        <color rgb="FF1155CC"/>
        <u/>
      </rPr>
      <t>5af6d38</t>
    </r>
  </si>
  <si>
    <t>Corrección del item_xpath de PEDIMENTOS y valores de fixtures de pruebas</t>
  </si>
  <si>
    <t>Commit 01fe374</t>
  </si>
  <si>
    <r>
      <rPr>
        <color rgb="FF1155CC"/>
        <u/>
      </rPr>
      <t>01fe374</t>
    </r>
  </si>
  <si>
    <t>Leyendas y significado de colores en las gráficas del reporte</t>
  </si>
  <si>
    <t>Commit 1a9215c</t>
  </si>
  <si>
    <r>
      <rPr>
        <color rgb="FF1155CC"/>
        <u/>
      </rPr>
      <t>1a9215c</t>
    </r>
  </si>
  <si>
    <t>Manejo del periodo del reporte y cálculo del gasto mensual</t>
  </si>
  <si>
    <t>Commit ce10f3c</t>
  </si>
  <si>
    <r>
      <rPr>
        <color rgb="FF1155CC"/>
        <u/>
      </rPr>
      <t>ce10f3c</t>
    </r>
  </si>
  <si>
    <t>Alta del tipo PEDIMENTO_ERP_XML</t>
  </si>
  <si>
    <r>
      <rPr>
        <color rgb="FF1155CC"/>
        <u/>
      </rPr>
      <t>5af6d38</t>
    </r>
  </si>
  <si>
    <t>Alta del tipo CFDI_GASTO_TERCERO_XML</t>
  </si>
  <si>
    <r>
      <rPr>
        <color rgb="FF1155CC"/>
        <u/>
      </rPr>
      <t>f63b187</t>
    </r>
  </si>
  <si>
    <t>Alta del tipo CFDI_PAGO_DERECHOS_SANITARIOS_XML</t>
  </si>
  <si>
    <r>
      <rPr>
        <color rgb="FF1155CC"/>
        <u/>
      </rPr>
      <t>f63b187</t>
    </r>
  </si>
  <si>
    <t>Alta del tipo FACTURA_LOGISTICA_XML</t>
  </si>
  <si>
    <r>
      <rPr>
        <color rgb="FF1155CC"/>
        <u/>
      </rPr>
      <t>f63b187</t>
    </r>
  </si>
  <si>
    <t>Mapeo de XML de facturas del dataset a esquemas _XML por tipo</t>
  </si>
  <si>
    <t>Reporte: orden por tipo de documento y búsqueda de servicios por etiqueta de costo</t>
  </si>
  <si>
    <t>Pruebas unitarias del reporte multiambiente</t>
  </si>
  <si>
    <t>Commit 3ce922f</t>
  </si>
  <si>
    <r>
      <rPr>
        <color rgb="FF1155CC"/>
        <u/>
      </rPr>
      <t>3ce922f</t>
    </r>
  </si>
  <si>
    <t>Estimación de costo y validación para PEDIMENTO_ERP</t>
  </si>
  <si>
    <t>Commit 61b6e08</t>
  </si>
  <si>
    <r>
      <rPr>
        <color rgb="FF1155CC"/>
        <u/>
      </rPr>
      <t>61b6e08</t>
    </r>
  </si>
  <si>
    <t>Calibración de estimación de costos (OCR) y corrección de registros mal tarifados</t>
  </si>
  <si>
    <t>Memoria del proyecto</t>
  </si>
  <si>
    <t>Catálogo de gastos aduanales del ERP y documentación</t>
  </si>
  <si>
    <t>Commit d7ff698</t>
  </si>
  <si>
    <r>
      <rPr>
        <color rgb="FF1155CC"/>
        <u/>
      </rPr>
      <t>d7ff698</t>
    </r>
  </si>
  <si>
    <t>Alta del tipo PEDIMENTO_GASTOS_ADUANALES_ERP</t>
  </si>
  <si>
    <r>
      <rPr>
        <color rgb="FF1155CC"/>
        <u/>
      </rPr>
      <t>d7ff698</t>
    </r>
  </si>
  <si>
    <t>Alta del tipo PEDIMENTO_GASTOS_ADUANALES_ERP_XML</t>
  </si>
  <si>
    <r>
      <rPr>
        <color rgb="FF1155CC"/>
        <u/>
      </rPr>
      <t>d7ff698</t>
    </r>
  </si>
  <si>
    <t>Siglas de documento en gastos aduanales (P, HE, II, OLI, PFA, GT, PS, FPE) y regla derivada de Tipo_Pago</t>
  </si>
  <si>
    <t>Variables de contexto y campos derivados en el procesamiento</t>
  </si>
  <si>
    <t>Commit 375d4c6</t>
  </si>
  <si>
    <r>
      <rPr>
        <color rgb="FF1155CC"/>
        <u/>
      </rPr>
      <t>375d4c6</t>
    </r>
  </si>
  <si>
    <t>Etapa genérica de autenticidad (4 capas anti-fraude) y tipo CARTA_NOM35</t>
  </si>
  <si>
    <t>AUTENTICIDAD_Y_REFERENCIAS.md, CARTA_NOM35.md</t>
  </si>
  <si>
    <t>Capas de autenticidad: carta NOM-35 y pruebas de reglas</t>
  </si>
  <si>
    <t>Commit 12b305c</t>
  </si>
  <si>
    <r>
      <rPr>
        <color rgb="FF1155CC"/>
        <u/>
      </rPr>
      <t>12b305c</t>
    </r>
  </si>
  <si>
    <t>Alta del tipo CARTA_NOM35 en el catálogo base de recursos humanos (con capas de autenticidad)</t>
  </si>
  <si>
    <r>
      <rPr>
        <color rgb="FF1155CC"/>
        <u/>
      </rPr>
      <t>12b305c</t>
    </r>
  </si>
  <si>
    <t>Rate limits por app: throttle del plan para lecturas y override para escritura</t>
  </si>
  <si>
    <t>Límite diario de documentos por app con seguimiento en DynamoDB</t>
  </si>
  <si>
    <t>Commit 0559c5d</t>
  </si>
  <si>
    <r>
      <rPr>
        <color rgb="FF1155CC"/>
        <u/>
      </rPr>
      <t>0559c5d</t>
    </r>
  </si>
  <si>
    <t>Hooks para gestionar el servidor tgrep e indexar el código</t>
  </si>
  <si>
    <t>Commit b036626</t>
  </si>
  <si>
    <r>
      <rPr>
        <color rgb="FF1155CC"/>
        <u/>
      </rPr>
      <t>b036626</t>
    </r>
  </si>
  <si>
    <t>Capa 0 pdf_integrity, $presets y expected_capture / on_suspicion; medición en 49 cartas</t>
  </si>
  <si>
    <t>Pruebas de modelos con visión en Bedrock (MiniMax y GLM5 sin visión)</t>
  </si>
  <si>
    <t>MODELOS_VISION.md</t>
  </si>
  <si>
    <t>Evaluación del tamaño máximo de JSON mapeado que se puede guardar en la base de datos</t>
  </si>
  <si>
    <t>Pruebas unitarias de presets de campos, forense de PDF, integridad y forense de píxeles</t>
  </si>
  <si>
    <t>Commit bb6e98e</t>
  </si>
  <si>
    <r>
      <rPr>
        <color rgb="FF1155CC"/>
        <u/>
      </rPr>
      <t>bb6e98e</t>
    </r>
  </si>
  <si>
    <t>Procesamiento de integridad y autenticidad con presets y nuevas validaciones</t>
  </si>
  <si>
    <t>Commit 19f6187</t>
  </si>
  <si>
    <r>
      <rPr>
        <color rgb="FF1155CC"/>
        <u/>
      </rPr>
      <t>19f6187</t>
    </r>
  </si>
  <si>
    <t>Pruebas de campos derivados y reglas de validación; tipos del portal de proveedores</t>
  </si>
  <si>
    <t>Commit b900fcd</t>
  </si>
  <si>
    <r>
      <rPr>
        <color rgb="FF1155CC"/>
        <u/>
      </rPr>
      <t>b900fcd</t>
    </r>
  </si>
  <si>
    <t>Campos derivados y validaciones para documentos fiscales</t>
  </si>
  <si>
    <t>Commit a7076fa</t>
  </si>
  <si>
    <r>
      <rPr>
        <color rgb="FF1155CC"/>
        <u/>
      </rPr>
      <t>a7076fa</t>
    </r>
  </si>
  <si>
    <t>Manejo de clasificación de documentos y control del tamaño del prompt</t>
  </si>
  <si>
    <t>Commit 1dc3400</t>
  </si>
  <si>
    <r>
      <rPr>
        <color rgb="FF1155CC"/>
        <u/>
      </rPr>
      <t>1dc3400</t>
    </r>
  </si>
  <si>
    <t>Alta del tipo ACTA_CONSTITUTIVA_PORTAL (alta de proveedores del portal)</t>
  </si>
  <si>
    <r>
      <rPr>
        <color rgb="FF1155CC"/>
        <u/>
      </rPr>
      <t>b900fcd</t>
    </r>
  </si>
  <si>
    <t>Alta del tipo CONSTANCIA_SITUACION_FISCAL_PORTAL (alta de proveedores del portal)</t>
  </si>
  <si>
    <r>
      <rPr>
        <color rgb="FF1155CC"/>
        <u/>
      </rPr>
      <t>b900fcd</t>
    </r>
  </si>
  <si>
    <t>Alta del tipo CONTRATO_SERVICIO_PORTAL (alta de proveedores del portal)</t>
  </si>
  <si>
    <r>
      <rPr>
        <color rgb="FF1155CC"/>
        <u/>
      </rPr>
      <t>b900fcd</t>
    </r>
  </si>
  <si>
    <t>Alta del tipo ESTADO_CUENTA_PORTAL (alta de proveedores del portal)</t>
  </si>
  <si>
    <r>
      <rPr>
        <color rgb="FF1155CC"/>
        <u/>
      </rPr>
      <t>b900fcd</t>
    </r>
  </si>
  <si>
    <t>Alta del tipo IDENTIFICACION_OFICIAL_PORTAL (alta de proveedores del portal)</t>
  </si>
  <si>
    <r>
      <rPr>
        <color rgb="FF1155CC"/>
        <u/>
      </rPr>
      <t>b900fcd</t>
    </r>
  </si>
  <si>
    <t>Alta del tipo REGISTRO_PUBLICO_COMERCIO_PORTAL (alta de proveedores del portal)</t>
  </si>
  <si>
    <r>
      <rPr>
        <color rgb="FF1155CC"/>
        <u/>
      </rPr>
      <t>b900fcd</t>
    </r>
  </si>
  <si>
    <t>Validación para proveedores extranjeros sin RFC o ID fiscal mexicano</t>
  </si>
  <si>
    <t>Corrección de fallo de deploy de la Lambda (UPDATE_FAILED)</t>
  </si>
  <si>
    <t>Refactor de pruebas: presets, almacén de huellas, embeddings y registro de referencias</t>
  </si>
  <si>
    <t>Commit eb3ec5b</t>
  </si>
  <si>
    <r>
      <rPr>
        <color rgb="FF1155CC"/>
        <u/>
      </rPr>
      <t>eb3ec5b</t>
    </r>
  </si>
  <si>
    <t>Scripts de despliegue y comparación (diff) de tablas DynamoDB</t>
  </si>
  <si>
    <t>Commit 4104f96</t>
  </si>
  <si>
    <r>
      <rPr>
        <color rgb="FF1155CC"/>
        <u/>
      </rPr>
      <t>4104f96</t>
    </r>
  </si>
  <si>
    <t>Documentación y verificación de firma y visión para el tipo CARTA_NOM35</t>
  </si>
  <si>
    <t>Commit 4b22c53</t>
  </si>
  <si>
    <r>
      <rPr>
        <color rgb="FF1155CC"/>
        <u/>
      </rPr>
      <t>4b22c53</t>
    </r>
  </si>
  <si>
    <t>Referencias en S3 Vectors: almacenamiento, escalabilidad, búsqueda por proveedor y sincronización masiva por CLI</t>
  </si>
  <si>
    <t>AUTENTICIDAD_Y_REFERENCIAS.md</t>
  </si>
  <si>
    <t>Verificación de sellos y logos NOM-35 y registro de nuevos vía API</t>
  </si>
  <si>
    <t>CARTA_NOM35.md</t>
  </si>
  <si>
    <t>Permisos IAM (policy.json) para desplegar con S3 Vectors</t>
  </si>
  <si>
    <t>Documentación para desplegar un tipo nuevo con comparación de firmas/imágenes o validación con visión</t>
  </si>
  <si>
    <t>NUEVO_TIPO_CON_FIRMAS_O_VISION.md; catalogs/README.md</t>
  </si>
  <si>
    <t>Separación del nombre del empleado en nombres, apellido paterno y apellido materno</t>
  </si>
  <si>
    <t>Estrategia de deploy más simple para no esperar la verificación de tablas nuevas</t>
  </si>
  <si>
    <t>SDK Node.js: commit inicial del cliente TypeScript del API</t>
  </si>
  <si>
    <t>SDK documents-validator-sdk (idp-sdk-node)</t>
  </si>
  <si>
    <t>Commit 11a771a (repo idp-sdk-node)</t>
  </si>
  <si>
    <r>
      <rPr>
        <color rgb="FF1155CC"/>
        <u/>
      </rPr>
      <t>11a771a</t>
    </r>
  </si>
  <si>
    <t>SDK Node.js: repositorio, seguimiento de errores y descripción en package.json</t>
  </si>
  <si>
    <t>Commit e3069c1 (repo idp-sdk-node)</t>
  </si>
  <si>
    <r>
      <rPr>
        <color rgb="FF1155CC"/>
        <u/>
      </rPr>
      <t>e3069c1</t>
    </r>
  </si>
  <si>
    <t>Biblioteca Node.js / TypeScript (SDK) para consumir el API; referencia de repositorios</t>
  </si>
  <si>
    <t>SDK documents-validator-sdk</t>
  </si>
  <si>
    <t>Análisis del rendimiento del procesamiento (≈1 min por documento) y propuestas de mejora</t>
  </si>
  <si>
    <t>LATENCIA.md</t>
  </si>
  <si>
    <t>ESTADO_CUENTA_PORTAL v1.2.0 con revisiones de integridad</t>
  </si>
  <si>
    <t>Commit 6719b0b</t>
  </si>
  <si>
    <r>
      <rPr>
        <color rgb="FF1155CC"/>
        <u/>
      </rPr>
      <t>6719b0b</t>
    </r>
  </si>
  <si>
    <t>Verificación de tipo en la extracción de documentos</t>
  </si>
  <si>
    <t>Commit d36dacb</t>
  </si>
  <si>
    <r>
      <rPr>
        <color rgb="FF1155CC"/>
        <u/>
      </rPr>
      <t>d36dacb</t>
    </r>
  </si>
  <si>
    <t>Validaciones de marca de agua y detección de edición</t>
  </si>
  <si>
    <t>Commit 8140540</t>
  </si>
  <si>
    <t>Refuerzo de integridad PDF y verificaciones de autenticidad</t>
  </si>
  <si>
    <t>Commit 2caba5e</t>
  </si>
  <si>
    <r>
      <rPr>
        <color rgb="FF1155CC"/>
        <u/>
      </rPr>
      <t>2caba5e</t>
    </r>
  </si>
  <si>
    <t>SDK Node.js: versión 0.2.0 con mejoras de verificación de tipos</t>
  </si>
  <si>
    <t>Commit 796584d (repo idp-sdk-node)</t>
  </si>
  <si>
    <r>
      <rPr>
        <color rgb="FF1155CC"/>
        <u/>
      </rPr>
      <t>796584d</t>
    </r>
  </si>
  <si>
    <t>Actualización del SDK y publicación de nueva versión</t>
  </si>
  <si>
    <t>Selección de modelo por costo, beneficio, rendimiento e inteligencia; modelo de visión por esquema; ranking en LATENCIA.md</t>
  </si>
  <si>
    <t>MODELOS_TEXTO.md, MODELOS_VISION.md, LATENCIA.md</t>
  </si>
  <si>
    <t>Cronograma de implementación a 12 meses y análisis financiero del proyecto de seguros</t>
  </si>
  <si>
    <t>Cronograma y análisis financiero en documentación</t>
  </si>
  <si>
    <t>Mes 1 – Mes 12</t>
  </si>
  <si>
    <t>Extracción determinística para PEDIMENTO_ERP</t>
  </si>
  <si>
    <t>Commit e18e799</t>
  </si>
  <si>
    <r>
      <rPr>
        <color rgb="FF1155CC"/>
        <u/>
      </rPr>
      <t>e18e799</t>
    </r>
  </si>
  <si>
    <t>Reporte de ejecución de IA y ahorro de tokens determinístico</t>
  </si>
  <si>
    <t>Commit 5729480</t>
  </si>
  <si>
    <t>Estrategia de extracción configurable por petición (override)</t>
  </si>
  <si>
    <t>Commit 0e418ee</t>
  </si>
  <si>
    <r>
      <rPr>
        <color rgb="FF1155CC"/>
        <u/>
      </rPr>
      <t>0e418ee</t>
    </r>
  </si>
  <si>
    <t>Inventario de Excel de gestión usados en la carpeta de seguros</t>
  </si>
  <si>
    <t>Solo bases de datos en Excel, sin PDFs</t>
  </si>
  <si>
    <t>Extracción determinística perfilada para seguros (CERTIFICADO_POLIZA)</t>
  </si>
  <si>
    <t>Commit ee00e20</t>
  </si>
  <si>
    <r>
      <rPr>
        <color rgb="FF1155CC"/>
        <u/>
      </rPr>
      <t>ee00e20</t>
    </r>
  </si>
  <si>
    <t>Manejo y validación del formato de respuesta de la IA</t>
  </si>
  <si>
    <t>Commit 39f4b3e</t>
  </si>
  <si>
    <r>
      <rPr>
        <color rgb="FF1155CC"/>
        <u/>
      </rPr>
      <t>39f4b3e</t>
    </r>
  </si>
  <si>
    <t>Métricas de tracking de duración de carga y procesamiento</t>
  </si>
  <si>
    <t>Commit 5516821</t>
  </si>
  <si>
    <t>Refactor de enrichment-lambda y query-lambda: tracking y ruteo</t>
  </si>
  <si>
    <t>Commit 3c9f7de</t>
  </si>
  <si>
    <r>
      <rPr>
        <color rgb="FF1155CC"/>
        <u/>
      </rPr>
      <t>3c9f7de</t>
    </r>
  </si>
  <si>
    <t>OCR diferido con adquisición de texto guiada por catálogo</t>
  </si>
  <si>
    <t>Commit b7dfd00</t>
  </si>
  <si>
    <r>
      <rPr>
        <color rgb="FF1155CC"/>
        <u/>
      </rPr>
      <t>b7dfd00</t>
    </r>
  </si>
  <si>
    <t>Procesamiento con ingesta directa desde S3</t>
  </si>
  <si>
    <t>Commit 01dd142</t>
  </si>
  <si>
    <r>
      <rPr>
        <color rgb="FF1155CC"/>
        <u/>
      </rPr>
      <t>01dd142</t>
    </r>
  </si>
  <si>
    <t>Simplificación de la arquitectura: retiro de componentes sin uso y ruteo S3/SQS</t>
  </si>
  <si>
    <t>Commit 7f53b0d</t>
  </si>
  <si>
    <r>
      <rPr>
        <color rgb="FF1155CC"/>
        <u/>
      </rPr>
      <t>7f53b0d</t>
    </r>
  </si>
  <si>
    <t>Cliente boto3 reutilizable en las lambdas de enriquecimiento para reducir el cold start</t>
  </si>
  <si>
    <t>Commit 9f87727</t>
  </si>
  <si>
    <r>
      <rPr>
        <color rgb="FF1155CC"/>
        <u/>
      </rPr>
      <t>9f87727</t>
    </r>
  </si>
  <si>
    <t>Análisis de costo de CloudWatch (alarmas y cargos)</t>
  </si>
  <si>
    <t>Análisis en LATENCIA_RESPUESTA.md</t>
  </si>
  <si>
    <t>Reorganización de rutas (paths) de documentos para evitar colisiones</t>
  </si>
  <si>
    <t>Resumen de continuidad de la migración para otro modelo de IA</t>
  </si>
  <si>
    <t>CONTINUIDAD_MIGRACION.md</t>
  </si>
  <si>
    <t>Evaluación de migrar pypdf a pymupdf y comparativa con pypdfium2</t>
  </si>
  <si>
    <t>Análisis de 4 s de procesamiento inicial y mejoras de rendimiento</t>
  </si>
  <si>
    <t>Verificación e implementación pendiente de lo descrito en CONTINUIDAD_MIGRACION.md</t>
  </si>
  <si>
    <t>https://code.alsuper.com/Infraestructura/idp/-/blob/master/documentacion/CONTINUIDAD_MIGRACION.md</t>
  </si>
  <si>
    <t>Enriquecimiento de campos comunes por fila en el pipeline</t>
  </si>
  <si>
    <t>Commit 3d0a5c4</t>
  </si>
  <si>
    <r>
      <rPr>
        <color rgb="FF1155CC"/>
        <u/>
      </rPr>
      <t>3d0a5c4</t>
    </r>
  </si>
  <si>
    <t>Análisis de lentitud en CONSTANCIA_SITUACION_FISCAL del portal y desglose por fase de los tiempos</t>
  </si>
  <si>
    <t>Revisión de todos los catálogos y asignación de la estrategia de extracción más conveniente</t>
  </si>
  <si>
    <t>Claude Haiku 5.5: modelos y precios</t>
  </si>
  <si>
    <t>Commit 489e15f</t>
  </si>
  <si>
    <r>
      <rPr>
        <color rgb="FF1155CC"/>
        <u/>
      </rPr>
      <t>489e15f</t>
    </r>
  </si>
  <si>
    <t>Análisis de tiempo de procesamiento (25 s para 2 páginas) y habilitación del acceso a Haiku 5.5 (AccessDenied)</t>
  </si>
  <si>
    <t>Componentes reutilizables de interfaz de terminal con pruebas unitarias</t>
  </si>
  <si>
    <t>Commit 06ea5b5</t>
  </si>
  <si>
    <r>
      <rPr>
        <color rgb="FF1155CC"/>
        <u/>
      </rPr>
      <t>06ea5b5</t>
    </r>
  </si>
  <si>
    <t>Corrección de fallo de deploy y permisos IAM (iam-policy.json)</t>
  </si>
  <si>
    <t>iam-policy.json</t>
  </si>
  <si>
    <t>Evaluación de deploy en limpio</t>
  </si>
  <si>
    <t>Comando deploy de migración y mejora de la restauración</t>
  </si>
  <si>
    <t>Commit 9830bfb</t>
  </si>
  <si>
    <r>
      <rPr>
        <color rgb="FF1155CC"/>
        <u/>
      </rPr>
      <t>9830bfb</t>
    </r>
  </si>
  <si>
    <t>Respaldo y restauración de DynamoDB para migración de cuenta AWS (comandos interactivos)</t>
  </si>
  <si>
    <r>
      <rPr>
        <color rgb="FF000000"/>
      </rPr>
      <t xml:space="preserve">PLAN_MIGRACION_CUENTA_AWS.md, </t>
    </r>
    <r>
      <rPr>
        <color rgb="FF1155CC"/>
        <u/>
      </rPr>
      <t>GUIA_MIGRACION_CUENTA_AWS.md</t>
    </r>
  </si>
  <si>
    <t>Respaldo cifrado + copia opcional; comando de deploy en cuenta destino</t>
  </si>
  <si>
    <t>Historia de usuario del feature de IA para Seguros</t>
  </si>
  <si>
    <t>Historia de Usuario - Seguros.docx</t>
  </si>
  <si>
    <t>Reducción del tiempo de configuración de variables de entorno de producción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</si>
</sst>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/M/yyyy"/>
    <numFmt numFmtId="166" formatCode="d/m/yy"/>
    <numFmt numFmtId="167" formatCode="d/m/yyyy"/>
    <numFmt numFmtId="168" formatCode="mmmm d"/>
  </numFmts>
  <fonts count="38">
    <font>
      <sz val="10.0"/>
      <color rgb="FF000000"/>
      <name val="Arial"/>
      <scheme val="minor"/>
    </font>
    <font>
      <color theme="1"/>
      <name val="Comfortaa"/>
    </font>
    <font>
      <color theme="1"/>
      <name val="Calibri"/>
    </font>
    <font>
      <b/>
      <sz val="30.0"/>
      <color rgb="FFFFFFFF"/>
      <name val="Calibri"/>
    </font>
    <font>
      <sz val="30.0"/>
      <color rgb="FFFFFFFF"/>
      <name val="Calibri"/>
    </font>
    <font>
      <color rgb="FFFFFFFF"/>
      <name val="Calibri"/>
    </font>
    <font>
      <sz val="8.0"/>
      <color rgb="FFFFFFFF"/>
      <name val="Calibri"/>
    </font>
    <font>
      <i/>
      <sz val="9.0"/>
      <color rgb="FF999999"/>
      <name val="Calibri"/>
    </font>
    <font>
      <color theme="1"/>
      <name val="Arial"/>
      <scheme val="minor"/>
    </font>
    <font>
      <b/>
      <color rgb="FF666666"/>
      <name val="Calibri"/>
    </font>
    <font>
      <i/>
      <color rgb="FF999999"/>
      <name val="Calibri"/>
    </font>
    <font>
      <color rgb="FF666666"/>
      <name val="Calibri"/>
    </font>
    <font>
      <sz val="8.0"/>
      <color theme="1"/>
      <name val="Calibri"/>
    </font>
    <font>
      <u/>
      <color theme="1"/>
      <name val="Calibri"/>
    </font>
    <font>
      <b/>
      <i/>
      <sz val="9.0"/>
      <color rgb="FF990000"/>
      <name val="Calibri"/>
    </font>
    <font>
      <b/>
      <sz val="15.0"/>
      <color rgb="FFFFFFFF"/>
      <name val="Calibri"/>
    </font>
    <font>
      <b/>
      <sz val="10.0"/>
      <color rgb="FFFFFFFF"/>
      <name val="Calibri"/>
    </font>
    <font>
      <u/>
      <color theme="1"/>
      <name val="Arial"/>
      <scheme val="minor"/>
    </font>
    <font>
      <color theme="1"/>
      <name val="Arial"/>
    </font>
    <font>
      <sz val="10.0"/>
      <color theme="1"/>
      <name val="Calibri"/>
    </font>
    <font>
      <u/>
      <sz val="10.0"/>
      <color theme="1"/>
      <name val="Calibri"/>
    </font>
    <font>
      <color rgb="FF666666"/>
      <name val="Arial"/>
    </font>
    <font>
      <b/>
      <sz val="9.0"/>
      <color rgb="FF000000"/>
      <name val="Comfortaa"/>
    </font>
    <font>
      <color rgb="FF666666"/>
      <name val="Arial"/>
      <scheme val="minor"/>
    </font>
    <font>
      <u/>
      <color rgb="FF666666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color rgb="FF999999"/>
      <name val="Arial"/>
      <scheme val="minor"/>
    </font>
    <font>
      <u/>
      <sz val="10.0"/>
      <color theme="1"/>
      <name val="Calibri"/>
    </font>
    <font>
      <color rgb="FF38761D"/>
      <name val="Arial"/>
      <scheme val="minor"/>
    </font>
    <font>
      <color rgb="FF434343"/>
      <name val="Roboto"/>
    </font>
    <font>
      <color rgb="FF38761D"/>
      <name val="Roboto"/>
    </font>
    <font>
      <color rgb="FF000000"/>
      <name val="Arial"/>
      <scheme val="minor"/>
    </font>
    <font>
      <u/>
      <color rgb="FF0000FF"/>
      <name val="Roboto"/>
    </font>
    <font>
      <b/>
      <sz val="13.0"/>
      <color rgb="FF38761D"/>
      <name val="Arial"/>
      <scheme val="minor"/>
    </font>
    <font>
      <u/>
      <color rgb="FF000000"/>
      <name val="Roboto"/>
    </font>
    <font>
      <u/>
      <color rgb="FF0000FF"/>
      <name val="Roboto"/>
    </font>
    <font>
      <u/>
      <color rgb="FF000000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D9D9D9"/>
        <bgColor rgb="FFD9D9D9"/>
      </patternFill>
    </fill>
    <fill>
      <patternFill patternType="solid">
        <fgColor rgb="FF98140C"/>
        <bgColor rgb="FF98140C"/>
      </patternFill>
    </fill>
    <fill>
      <patternFill patternType="solid">
        <fgColor rgb="FFF3F3F3"/>
        <bgColor rgb="FFF3F3F3"/>
      </patternFill>
    </fill>
    <fill>
      <patternFill patternType="solid">
        <fgColor rgb="FF1C5191"/>
        <bgColor rgb="FF1C5191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980000"/>
      </left>
      <top style="thin">
        <color rgb="FF980000"/>
      </top>
    </border>
    <border>
      <top style="thin">
        <color rgb="FF980000"/>
      </top>
    </border>
    <border>
      <right style="thin">
        <color rgb="FF980000"/>
      </right>
      <top style="thin">
        <color rgb="FF980000"/>
      </top>
    </border>
    <border>
      <right style="thin">
        <color rgb="FF980000"/>
      </right>
    </border>
    <border>
      <left style="thin">
        <color rgb="FF980000"/>
      </left>
      <top style="thin">
        <color rgb="FF980000"/>
      </top>
      <bottom style="thin">
        <color rgb="FF980000"/>
      </bottom>
    </border>
    <border>
      <top style="thin">
        <color rgb="FF980000"/>
      </top>
      <bottom style="thin">
        <color rgb="FF980000"/>
      </bottom>
    </border>
    <border>
      <right style="thin">
        <color rgb="FF980000"/>
      </right>
      <top style="thin">
        <color rgb="FF980000"/>
      </top>
      <bottom style="thin">
        <color rgb="FF980000"/>
      </bottom>
    </border>
    <border>
      <left style="thin">
        <color rgb="FF980000"/>
      </left>
    </border>
    <border>
      <right style="thin">
        <color rgb="FFFFFFFF"/>
      </right>
    </border>
    <border>
      <bottom style="thin">
        <color rgb="FF980000"/>
      </bottom>
    </border>
    <border>
      <left style="thin">
        <color rgb="FF980000"/>
      </left>
      <bottom style="thin">
        <color rgb="FF980000"/>
      </bottom>
    </border>
    <border>
      <right style="thin">
        <color rgb="FF980000"/>
      </right>
      <bottom style="thin">
        <color rgb="FF98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ill="1" applyFont="1">
      <alignment vertical="center"/>
    </xf>
    <xf borderId="0" fillId="2" fontId="3" numFmtId="0" xfId="0" applyAlignment="1" applyFill="1" applyFont="1">
      <alignment readingOrder="0" vertical="center"/>
    </xf>
    <xf borderId="0" fillId="2" fontId="4" numFmtId="0" xfId="0" applyAlignment="1" applyFill="1" applyFont="1">
      <alignment readingOrder="0" vertical="center"/>
    </xf>
    <xf borderId="0" fillId="2" fontId="5" numFmtId="0" xfId="0" applyAlignment="1" applyFill="1" applyFont="1">
      <alignment vertical="center"/>
    </xf>
    <xf borderId="0" fillId="2" fontId="5" numFmtId="9" xfId="0" applyAlignment="1" applyFill="1" applyFont="1" applyNumberForma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center"/>
    </xf>
    <xf borderId="0" fillId="0" fontId="8" numFmtId="0" xfId="0" applyAlignment="1" applyFont="1">
      <alignment horizontal="left" readingOrder="0" shrinkToFit="0" vertical="center" wrapText="1"/>
    </xf>
    <xf borderId="0" fillId="3" fontId="9" numFmtId="0" xfId="0" applyAlignment="1" applyFill="1" applyFont="1">
      <alignment horizontal="center" readingOrder="0" vertical="center"/>
    </xf>
    <xf borderId="0" fillId="0" fontId="8" numFmtId="0" xfId="0" applyFont="1"/>
    <xf borderId="0" fillId="0" fontId="10" numFmtId="0" xfId="0" applyAlignment="1" applyFont="1">
      <alignment readingOrder="0" vertical="center"/>
    </xf>
    <xf borderId="0" fillId="0" fontId="7" numFmtId="0" xfId="0" applyAlignment="1" applyFont="1">
      <alignment readingOrder="0" shrinkToFit="0" vertical="center" wrapText="1"/>
    </xf>
    <xf borderId="0" fillId="0" fontId="8" numFmtId="10" xfId="0" applyFont="1" applyNumberFormat="1"/>
    <xf borderId="0" fillId="0" fontId="8" numFmtId="0" xfId="0" applyAlignment="1" applyFont="1">
      <alignment horizontal="left" readingOrder="0" shrinkToFit="0" vertical="center" wrapText="1"/>
    </xf>
    <xf borderId="0" fillId="0" fontId="11" numFmtId="164" xfId="0" applyAlignment="1" applyFont="1" applyNumberFormat="1">
      <alignment horizontal="left" readingOrder="0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horizontal="center" readingOrder="0" shrinkToFit="0" vertical="center" wrapText="1"/>
    </xf>
    <xf borderId="0" fillId="0" fontId="2" numFmtId="9" xfId="0" applyAlignment="1" applyFont="1" applyNumberFormat="1">
      <alignment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8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center" shrinkToFit="0" wrapText="1"/>
    </xf>
    <xf borderId="0" fillId="0" fontId="8" numFmtId="49" xfId="0" applyAlignment="1" applyFont="1" applyNumberFormat="1">
      <alignment readingOrder="0" shrinkToFit="0" vertical="center" wrapText="1"/>
    </xf>
    <xf borderId="0" fillId="0" fontId="8" numFmtId="0" xfId="0" applyAlignment="1" applyFont="1">
      <alignment readingOrder="0" shrinkToFit="0" vertical="center" wrapText="0"/>
    </xf>
    <xf borderId="0" fillId="2" fontId="15" numFmtId="10" xfId="0" applyAlignment="1" applyFill="1" applyFont="1" applyNumberFormat="1">
      <alignment horizontal="center" shrinkToFit="0" wrapText="0"/>
    </xf>
    <xf borderId="0" fillId="0" fontId="2" numFmtId="10" xfId="0" applyAlignment="1" applyFont="1" applyNumberFormat="1">
      <alignment horizontal="center" vertical="center"/>
    </xf>
    <xf borderId="0" fillId="0" fontId="8" numFmtId="0" xfId="0" applyAlignment="1" applyFont="1">
      <alignment readingOrder="0"/>
    </xf>
    <xf borderId="1" fillId="2" fontId="16" numFmtId="0" xfId="0" applyAlignment="1" applyBorder="1" applyFill="1" applyFont="1">
      <alignment horizontal="center" readingOrder="0" vertical="center"/>
    </xf>
    <xf borderId="2" fillId="2" fontId="16" numFmtId="0" xfId="0" applyAlignment="1" applyBorder="1" applyFill="1" applyFont="1">
      <alignment horizontal="center" readingOrder="0" vertical="center"/>
    </xf>
    <xf borderId="0" fillId="0" fontId="17" numFmtId="0" xfId="0" applyAlignment="1" applyFont="1">
      <alignment readingOrder="0" shrinkToFit="0" vertical="center" wrapText="1"/>
    </xf>
    <xf borderId="2" fillId="2" fontId="16" numFmtId="0" xfId="0" applyAlignment="1" applyBorder="1" applyFill="1" applyFont="1">
      <alignment horizontal="center" readingOrder="0" shrinkToFit="0" vertical="center" wrapText="1"/>
    </xf>
    <xf borderId="2" fillId="2" fontId="16" numFmtId="9" xfId="0" applyAlignment="1" applyBorder="1" applyFill="1" applyFont="1" applyNumberFormat="1">
      <alignment horizontal="center" readingOrder="0" vertical="center"/>
    </xf>
    <xf borderId="2" fillId="2" fontId="16" numFmtId="165" xfId="0" applyAlignment="1" applyBorder="1" applyFill="1" applyFont="1" applyNumberFormat="1">
      <alignment horizontal="center" shrinkToFit="0" vertical="center" wrapText="1"/>
    </xf>
    <xf borderId="3" fillId="2" fontId="16" numFmtId="165" xfId="0" applyAlignment="1" applyBorder="1" applyFill="1" applyFont="1" applyNumberFormat="1">
      <alignment horizontal="center" shrinkToFit="0" vertical="center" wrapText="1"/>
    </xf>
    <xf borderId="0" fillId="0" fontId="8" numFmtId="165" xfId="0" applyAlignment="1" applyFont="1" applyNumberFormat="1">
      <alignment horizontal="center" readingOrder="0" shrinkToFit="0" vertical="center" wrapText="0"/>
    </xf>
    <xf borderId="0" fillId="0" fontId="18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readingOrder="0" shrinkToFit="0" vertical="center" wrapText="0"/>
    </xf>
    <xf borderId="0" fillId="0" fontId="19" numFmtId="0" xfId="0" applyAlignment="1" applyFont="1">
      <alignment horizontal="center" readingOrder="0"/>
    </xf>
    <xf borderId="0" fillId="0" fontId="19" numFmtId="0" xfId="0" applyAlignment="1" applyFont="1">
      <alignment readingOrder="0"/>
    </xf>
    <xf borderId="0" fillId="0" fontId="8" numFmtId="49" xfId="0" applyAlignment="1" applyFont="1" applyNumberFormat="1">
      <alignment readingOrder="0" shrinkToFit="0" vertical="center" wrapText="0"/>
    </xf>
    <xf borderId="0" fillId="0" fontId="20" numFmtId="0" xfId="0" applyAlignment="1" applyFont="1">
      <alignment horizontal="center" readingOrder="0"/>
    </xf>
    <xf borderId="0" fillId="0" fontId="11" numFmtId="165" xfId="0" applyAlignment="1" applyFont="1" applyNumberFormat="1">
      <alignment horizontal="center" readingOrder="0" vertical="center"/>
    </xf>
    <xf borderId="0" fillId="0" fontId="19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vertical="center" wrapText="1"/>
    </xf>
    <xf borderId="0" fillId="0" fontId="19" numFmtId="9" xfId="0" applyAlignment="1" applyFont="1" applyNumberFormat="1">
      <alignment horizontal="center"/>
    </xf>
    <xf borderId="0" fillId="0" fontId="19" numFmtId="49" xfId="0" applyAlignment="1" applyFont="1" applyNumberFormat="1">
      <alignment horizontal="center" readingOrder="0" shrinkToFit="0" vertical="center" wrapText="0"/>
    </xf>
    <xf borderId="4" fillId="0" fontId="19" numFmtId="49" xfId="0" applyAlignment="1" applyBorder="1" applyFont="1" applyNumberFormat="1">
      <alignment horizontal="center" readingOrder="0" shrinkToFit="0" vertical="center" wrapText="0"/>
    </xf>
    <xf borderId="5" fillId="4" fontId="12" numFmtId="0" xfId="0" applyAlignment="1" applyBorder="1" applyFill="1" applyFont="1">
      <alignment vertical="center"/>
    </xf>
    <xf borderId="6" fillId="5" fontId="12" numFmtId="0" xfId="0" applyAlignment="1" applyBorder="1" applyFill="1" applyFont="1">
      <alignment readingOrder="0" vertical="center"/>
    </xf>
    <xf borderId="7" fillId="5" fontId="8" numFmtId="0" xfId="0" applyBorder="1" applyFill="1" applyFont="1"/>
    <xf borderId="5" fillId="6" fontId="12" numFmtId="0" xfId="0" applyAlignment="1" applyBorder="1" applyFill="1" applyFont="1">
      <alignment vertical="center"/>
    </xf>
    <xf borderId="7" fillId="5" fontId="12" numFmtId="0" xfId="0" applyAlignment="1" applyBorder="1" applyFill="1" applyFont="1">
      <alignment vertical="center"/>
    </xf>
    <xf borderId="0" fillId="0" fontId="12" numFmtId="0" xfId="0" applyAlignment="1" applyFont="1">
      <alignment horizontal="center" vertical="center"/>
    </xf>
    <xf borderId="0" fillId="0" fontId="8" numFmtId="0" xfId="0" applyAlignment="1" applyFont="1">
      <alignment horizontal="left" readingOrder="0" shrinkToFit="0" vertical="center" wrapText="0"/>
    </xf>
    <xf borderId="0" fillId="0" fontId="8" numFmtId="49" xfId="0" applyAlignment="1" applyFont="1" applyNumberFormat="1">
      <alignment horizontal="left" readingOrder="0" shrinkToFit="0" vertical="center" wrapText="0"/>
    </xf>
    <xf borderId="0" fillId="0" fontId="21" numFmtId="0" xfId="0" applyAlignment="1" applyFont="1">
      <alignment shrinkToFit="0" vertical="bottom" wrapText="0"/>
    </xf>
    <xf borderId="1" fillId="3" fontId="22" numFmtId="165" xfId="0" applyAlignment="1" applyBorder="1" applyFill="1" applyFont="1" applyNumberFormat="1">
      <alignment horizontal="center" shrinkToFit="0" textRotation="180" vertical="center" wrapText="1"/>
    </xf>
    <xf borderId="0" fillId="0" fontId="23" numFmtId="0" xfId="0" applyAlignment="1" applyFont="1">
      <alignment readingOrder="0" shrinkToFit="0" vertical="center" wrapText="0"/>
    </xf>
    <xf borderId="2" fillId="3" fontId="22" numFmtId="165" xfId="0" applyAlignment="1" applyBorder="1" applyFill="1" applyFont="1" applyNumberFormat="1">
      <alignment horizontal="center" shrinkToFit="0" textRotation="180" vertical="center" wrapText="1"/>
    </xf>
    <xf borderId="0" fillId="0" fontId="19" numFmtId="9" xfId="0" applyAlignment="1" applyFont="1" applyNumberFormat="1">
      <alignment horizontal="left" readingOrder="0" shrinkToFit="0" vertical="center" wrapText="0"/>
    </xf>
    <xf borderId="0" fillId="0" fontId="24" numFmtId="49" xfId="0" applyAlignment="1" applyFont="1" applyNumberFormat="1">
      <alignment readingOrder="0" shrinkToFit="0" vertical="center" wrapText="0"/>
    </xf>
    <xf borderId="0" fillId="0" fontId="23" numFmtId="0" xfId="0" applyAlignment="1" applyFont="1">
      <alignment shrinkToFit="0" vertical="center" wrapText="0"/>
    </xf>
    <xf borderId="0" fillId="0" fontId="23" numFmtId="49" xfId="0" applyAlignment="1" applyFont="1" applyNumberFormat="1">
      <alignment shrinkToFit="0" vertical="center" wrapText="0"/>
    </xf>
    <xf borderId="3" fillId="3" fontId="22" numFmtId="165" xfId="0" applyAlignment="1" applyBorder="1" applyFill="1" applyFont="1" applyNumberFormat="1">
      <alignment horizontal="center" shrinkToFit="0" textRotation="180" vertical="center" wrapText="1"/>
    </xf>
    <xf borderId="0" fillId="0" fontId="16" numFmtId="165" xfId="0" applyAlignment="1" applyFont="1" applyNumberFormat="1">
      <alignment horizontal="center" shrinkToFit="0" vertical="center" wrapText="1"/>
    </xf>
    <xf borderId="0" fillId="0" fontId="25" numFmtId="49" xfId="0" applyAlignment="1" applyFont="1" applyNumberFormat="1">
      <alignment readingOrder="0" shrinkToFit="0" vertical="center" wrapText="1"/>
    </xf>
    <xf borderId="0" fillId="0" fontId="8" numFmtId="164" xfId="0" applyAlignment="1" applyFont="1" applyNumberFormat="1">
      <alignment horizontal="center" readingOrder="0" shrinkToFit="0" vertical="center" wrapText="0"/>
    </xf>
    <xf borderId="0" fillId="0" fontId="26" numFmtId="49" xfId="0" applyAlignment="1" applyFont="1" applyNumberFormat="1">
      <alignment readingOrder="0" shrinkToFit="0" vertical="center" wrapText="0"/>
    </xf>
    <xf borderId="8" fillId="0" fontId="12" numFmtId="49" xfId="0" applyAlignment="1" applyBorder="1" applyFont="1" applyNumberFormat="1">
      <alignment horizontal="center" readingOrder="0" shrinkToFit="0" vertical="center" wrapText="0"/>
    </xf>
    <xf borderId="0" fillId="0" fontId="12" numFmtId="49" xfId="0" applyAlignment="1" applyFont="1" applyNumberFormat="1">
      <alignment horizontal="center" readingOrder="0" shrinkToFit="0" vertical="center" wrapText="0"/>
    </xf>
    <xf borderId="0" fillId="0" fontId="8" numFmtId="0" xfId="0" applyAlignment="1" applyFont="1">
      <alignment readingOrder="0" shrinkToFit="0" vertical="center" wrapText="1"/>
    </xf>
    <xf borderId="4" fillId="0" fontId="12" numFmtId="49" xfId="0" applyAlignment="1" applyBorder="1" applyFont="1" applyNumberFormat="1">
      <alignment horizontal="center" readingOrder="0" shrinkToFit="0" vertical="center" wrapText="0"/>
    </xf>
    <xf borderId="0" fillId="0" fontId="23" numFmtId="0" xfId="0" applyAlignment="1" applyFont="1">
      <alignment readingOrder="0"/>
    </xf>
    <xf borderId="0" fillId="0" fontId="23" numFmtId="0" xfId="0" applyFont="1"/>
    <xf borderId="0" fillId="0" fontId="27" numFmtId="0" xfId="0" applyFont="1"/>
    <xf borderId="0" fillId="0" fontId="28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166" xfId="0" applyAlignment="1" applyFont="1" applyNumberFormat="1">
      <alignment readingOrder="0" shrinkToFit="0" vertical="center" wrapText="0"/>
    </xf>
    <xf borderId="0" fillId="0" fontId="8" numFmtId="49" xfId="0" applyAlignment="1" applyFont="1" applyNumberForma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0" fontId="19" numFmtId="0" xfId="0" applyAlignment="1" applyFont="1">
      <alignment horizontal="center" shrinkToFit="0" vertical="center" wrapText="0"/>
    </xf>
    <xf borderId="0" fillId="0" fontId="8" numFmtId="49" xfId="0" applyAlignment="1" applyFont="1" applyNumberForma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2" numFmtId="0" xfId="0" applyFont="1"/>
    <xf borderId="0" fillId="0" fontId="19" numFmtId="49" xfId="0" applyAlignment="1" applyFont="1" applyNumberFormat="1">
      <alignment horizontal="center" shrinkToFit="0" vertical="center" wrapText="0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167" xfId="0" applyAlignment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165" xfId="0" applyAlignment="1" applyFont="1" applyNumberForma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19" numFmtId="49" xfId="0" applyAlignment="1" applyFont="1" applyNumberFormat="1">
      <alignment horizontal="center" readingOrder="0" shrinkToFit="0" vertical="bottom" wrapText="0"/>
    </xf>
    <xf borderId="9" fillId="7" fontId="18" numFmtId="0" xfId="0" applyAlignment="1" applyBorder="1" applyFill="1" applyFont="1">
      <alignment vertical="bottom"/>
    </xf>
    <xf borderId="0" fillId="8" fontId="18" numFmtId="10" xfId="0" applyAlignment="1" applyFill="1" applyFont="1" applyNumberFormat="1">
      <alignment horizontal="right" vertical="bottom"/>
    </xf>
    <xf borderId="0" fillId="0" fontId="29" numFmtId="0" xfId="0" applyAlignment="1" applyFont="1">
      <alignment horizontal="center" readingOrder="0" shrinkToFit="0" vertical="center" wrapText="1"/>
    </xf>
    <xf borderId="0" fillId="8" fontId="30" numFmtId="0" xfId="0" applyAlignment="1" applyFill="1" applyFont="1">
      <alignment shrinkToFit="0" vertical="center" wrapText="1"/>
    </xf>
    <xf borderId="0" fillId="8" fontId="30" numFmtId="0" xfId="0" applyAlignment="1" applyFill="1" applyFont="1">
      <alignment horizontal="left" shrinkToFit="0" vertical="center" wrapText="1"/>
    </xf>
    <xf borderId="0" fillId="0" fontId="30" numFmtId="0" xfId="0" applyAlignment="1" applyFont="1">
      <alignment readingOrder="0" shrinkToFit="0" vertical="center" wrapText="1"/>
    </xf>
    <xf borderId="0" fillId="8" fontId="30" numFmtId="0" xfId="0" applyAlignment="1" applyFill="1" applyFont="1">
      <alignment readingOrder="0" shrinkToFit="0" vertical="center" wrapText="1"/>
    </xf>
    <xf borderId="0" fillId="8" fontId="30" numFmtId="0" xfId="0" applyAlignment="1" applyFill="1" applyFont="1">
      <alignment shrinkToFit="0" vertical="center" wrapText="1"/>
    </xf>
    <xf borderId="0" fillId="8" fontId="18" numFmtId="0" xfId="0" applyAlignment="1" applyFill="1" applyFont="1">
      <alignment shrinkToFit="0" vertical="center" wrapText="1"/>
    </xf>
    <xf borderId="0" fillId="8" fontId="31" numFmtId="0" xfId="0" applyAlignment="1" applyFill="1" applyFont="1">
      <alignment horizontal="center" readingOrder="0" shrinkToFit="0" vertical="center" wrapText="1"/>
    </xf>
    <xf borderId="0" fillId="8" fontId="30" numFmtId="0" xfId="0" applyAlignment="1" applyFill="1" applyFont="1">
      <alignment shrinkToFit="0" vertical="center" wrapText="1"/>
    </xf>
    <xf borderId="0" fillId="8" fontId="31" numFmtId="0" xfId="0" applyAlignment="1" applyFill="1" applyFont="1">
      <alignment horizontal="center" readingOrder="0" shrinkToFit="0" vertical="center" wrapText="1"/>
    </xf>
    <xf borderId="0" fillId="8" fontId="30" numFmtId="165" xfId="0" applyAlignment="1" applyFill="1" applyFont="1" applyNumberFormat="1">
      <alignment shrinkToFit="0" vertical="center" wrapText="1"/>
    </xf>
    <xf borderId="0" fillId="0" fontId="19" numFmtId="0" xfId="0" applyAlignment="1" applyFont="1">
      <alignment horizontal="center" vertical="center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32" numFmtId="49" xfId="0" applyAlignment="1" applyFont="1" applyNumberFormat="1">
      <alignment horizontal="left" readingOrder="0" shrinkToFit="0" vertical="center" wrapText="0"/>
    </xf>
    <xf borderId="0" fillId="0" fontId="32" numFmtId="0" xfId="0" applyAlignment="1" applyFont="1">
      <alignment horizontal="left" readingOrder="0" shrinkToFit="0" vertical="center" wrapText="0"/>
    </xf>
    <xf borderId="0" fillId="0" fontId="32" numFmtId="167" xfId="0" applyAlignment="1" applyFont="1" applyNumberFormat="1">
      <alignment horizontal="center" readingOrder="0" shrinkToFit="0" vertical="center" wrapText="0"/>
    </xf>
    <xf borderId="0" fillId="0" fontId="32" numFmtId="165" xfId="0" applyAlignment="1" applyFont="1" applyNumberFormat="1">
      <alignment horizontal="center" readingOrder="0" shrinkToFit="0" vertical="center" wrapText="0"/>
    </xf>
    <xf borderId="0" fillId="0" fontId="32" numFmtId="0" xfId="0" applyAlignment="1" applyFont="1">
      <alignment horizontal="left" readingOrder="0" shrinkToFit="0" vertical="center" wrapText="0"/>
    </xf>
    <xf borderId="0" fillId="0" fontId="8" numFmtId="49" xfId="0" applyAlignment="1" applyFont="1" applyNumberFormat="1">
      <alignment horizontal="left" shrinkToFit="0" vertical="center" wrapText="0"/>
    </xf>
    <xf borderId="0" fillId="0" fontId="8" numFmtId="0" xfId="0" applyAlignment="1" applyFont="1">
      <alignment horizontal="left" readingOrder="0" shrinkToFit="0" vertical="center" wrapText="1"/>
    </xf>
    <xf borderId="0" fillId="0" fontId="33" numFmtId="0" xfId="0" applyAlignment="1" applyFont="1">
      <alignment horizontal="left" readingOrder="0" shrinkToFit="0" vertical="center" wrapText="0"/>
    </xf>
    <xf borderId="8" fillId="0" fontId="19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horizontal="left" shrinkToFit="0" vertical="center" wrapText="0"/>
    </xf>
    <xf borderId="0" fillId="0" fontId="19" numFmtId="0" xfId="0" applyAlignment="1" applyFont="1">
      <alignment horizontal="center" shrinkToFit="0" vertical="center" wrapText="0"/>
    </xf>
    <xf borderId="0" fillId="0" fontId="19" numFmtId="165" xfId="0" applyAlignment="1" applyFont="1" applyNumberFormat="1">
      <alignment horizontal="center" readingOrder="0" shrinkToFit="0" vertical="center" wrapText="0"/>
    </xf>
    <xf borderId="0" fillId="0" fontId="19" numFmtId="164" xfId="0" applyAlignment="1" applyFont="1" applyNumberFormat="1">
      <alignment horizontal="center" readingOrder="0"/>
    </xf>
    <xf borderId="10" fillId="0" fontId="19" numFmtId="9" xfId="0" applyAlignment="1" applyBorder="1" applyFont="1" applyNumberFormat="1">
      <alignment horizontal="left" readingOrder="0" shrinkToFit="0" vertical="center" wrapText="0"/>
    </xf>
    <xf borderId="11" fillId="0" fontId="12" numFmtId="49" xfId="0" applyAlignment="1" applyBorder="1" applyFont="1" applyNumberFormat="1">
      <alignment horizontal="center" readingOrder="0" shrinkToFit="0" vertical="center" wrapText="0"/>
    </xf>
    <xf borderId="10" fillId="0" fontId="12" numFmtId="49" xfId="0" applyAlignment="1" applyBorder="1" applyFont="1" applyNumberFormat="1">
      <alignment horizontal="center" readingOrder="0" shrinkToFit="0" vertical="center" wrapText="0"/>
    </xf>
    <xf borderId="12" fillId="0" fontId="12" numFmtId="49" xfId="0" applyAlignment="1" applyBorder="1" applyFont="1" applyNumberFormat="1">
      <alignment horizontal="center" readingOrder="0" shrinkToFit="0" vertical="center" wrapText="0"/>
    </xf>
    <xf borderId="0" fillId="0" fontId="29" numFmtId="0" xfId="0" applyAlignment="1" applyFont="1">
      <alignment horizontal="center" readingOrder="0" shrinkToFit="0" vertical="center" wrapText="0"/>
    </xf>
    <xf borderId="0" fillId="0" fontId="29" numFmtId="0" xfId="0" applyAlignment="1" applyFont="1">
      <alignment horizontal="center" readingOrder="0" shrinkToFit="0" vertical="center" wrapText="0"/>
    </xf>
    <xf borderId="0" fillId="0" fontId="8" numFmtId="165" xfId="0" applyAlignment="1" applyFont="1" applyNumberFormat="1">
      <alignment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19" numFmtId="0" xfId="0" applyAlignment="1" applyFont="1">
      <alignment horizontal="center" readingOrder="0" vertical="center"/>
    </xf>
    <xf borderId="0" fillId="0" fontId="19" numFmtId="0" xfId="0" applyAlignment="1" applyFont="1">
      <alignment readingOrder="0" vertical="center"/>
    </xf>
    <xf borderId="0" fillId="0" fontId="19" numFmtId="9" xfId="0" applyAlignment="1" applyFont="1" applyNumberFormat="1">
      <alignment horizontal="center" vertical="center"/>
    </xf>
    <xf borderId="0" fillId="0" fontId="8" numFmtId="0" xfId="0" applyAlignment="1" applyFont="1">
      <alignment vertical="center"/>
    </xf>
    <xf borderId="0" fillId="0" fontId="8" numFmtId="10" xfId="0" applyAlignment="1" applyFont="1" applyNumberFormat="1">
      <alignment vertical="center"/>
    </xf>
    <xf borderId="0" fillId="0" fontId="8" numFmtId="168" xfId="0" applyAlignment="1" applyFont="1" applyNumberFormat="1">
      <alignment readingOrder="0"/>
    </xf>
    <xf borderId="0" fillId="0" fontId="8" numFmtId="165" xfId="0" applyAlignment="1" applyFont="1" applyNumberFormat="1">
      <alignment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165" xfId="0" applyAlignment="1" applyFont="1" applyNumberFormat="1">
      <alignment shrinkToFit="0" vertical="center" wrapText="1"/>
    </xf>
    <xf borderId="0" fillId="0" fontId="8" numFmtId="9" xfId="0" applyAlignment="1" applyFont="1" applyNumberFormat="1">
      <alignment readingOrder="0" shrinkToFit="0" vertical="center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left" shrinkToFit="0" wrapText="1"/>
    </xf>
    <xf borderId="0" fillId="0" fontId="8" numFmtId="0" xfId="0" applyAlignment="1" applyFont="1">
      <alignment horizontal="left" shrinkToFit="0" vertical="bottom" wrapText="0"/>
    </xf>
    <xf borderId="0" fillId="0" fontId="35" numFmtId="49" xfId="0" applyAlignment="1" applyFont="1" applyNumberFormat="1">
      <alignment horizontal="left" readingOrder="0" shrinkToFit="0" vertical="center" wrapText="0"/>
    </xf>
    <xf borderId="0" fillId="0" fontId="36" numFmtId="49" xfId="0" applyAlignment="1" applyFont="1" applyNumberFormat="1">
      <alignment horizontal="left" readingOrder="0" shrinkToFit="0" vertical="center" wrapText="0"/>
    </xf>
    <xf borderId="0" fillId="0" fontId="32" numFmtId="0" xfId="0" applyAlignment="1" applyFont="1">
      <alignment horizontal="right" readingOrder="0" shrinkToFit="0" vertical="center" wrapText="0"/>
    </xf>
    <xf borderId="0" fillId="0" fontId="37" numFmtId="49" xfId="0" applyAlignment="1" applyFont="1" applyNumberFormat="1">
      <alignment horizontal="left"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165" xfId="0" applyAlignment="1" applyFont="1" applyNumberForma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shrinkToFit="0" vertical="center" wrapText="0"/>
    </xf>
  </cellXfs>
  <cellStyles count="1">
    <cellStyle xfId="0" name="Normal" builtinId="0"/>
  </cellStyles>
  <dxfs count="3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ont/>
      <fill>
        <patternFill patternType="solid">
          <fgColor rgb="FFEA9999"/>
          <bgColor rgb="FFEA9999"/>
        </patternFill>
      </fill>
      <border/>
    </dxf>
    <dxf>
      <font>
        <i/>
        <color rgb="FF434343"/>
      </font>
      <fill>
        <patternFill patternType="solid">
          <fgColor rgb="FFE0FAEE"/>
          <bgColor rgb="FFE0FAEE"/>
        </patternFill>
      </fill>
      <border/>
    </dxf>
    <dxf>
      <font>
        <i/>
        <color rgb="FF434343"/>
      </font>
      <fill>
        <patternFill patternType="solid">
          <fgColor rgb="FFE5F3FF"/>
          <bgColor rgb="FFE5F3FF"/>
        </patternFill>
      </fill>
      <border/>
    </dxf>
    <dxf>
      <font>
        <i/>
        <color rgb="FFF3F3F3"/>
      </font>
      <fill>
        <patternFill patternType="solid">
          <fgColor rgb="FF999999"/>
          <bgColor rgb="FF999999"/>
        </patternFill>
      </fill>
      <border/>
    </dxf>
    <dxf>
      <font/>
      <fill>
        <patternFill patternType="none"/>
      </fill>
      <border/>
    </dxf>
    <dxf>
      <font>
        <b/>
      </font>
      <fill>
        <patternFill patternType="solid">
          <fgColor rgb="FF93C47D"/>
          <bgColor rgb="FF93C47D"/>
        </patternFill>
      </fill>
      <border/>
    </dxf>
    <dxf>
      <font>
        <b/>
      </font>
      <fill>
        <patternFill patternType="solid">
          <fgColor rgb="FFF6B26B"/>
          <bgColor rgb="FFF6B26B"/>
        </patternFill>
      </fill>
      <border/>
    </dxf>
    <dxf>
      <font>
        <b/>
      </font>
      <fill>
        <patternFill patternType="solid">
          <fgColor rgb="FF8E7CC3"/>
          <bgColor rgb="FF8E7CC3"/>
        </patternFill>
      </fill>
      <border/>
    </dxf>
    <dxf>
      <font>
        <b/>
      </font>
      <fill>
        <patternFill patternType="solid">
          <fgColor rgb="FF6FA8DC"/>
          <bgColor rgb="FF6FA8DC"/>
        </patternFill>
      </fill>
      <border/>
    </dxf>
    <dxf>
      <font>
        <b/>
      </font>
      <fill>
        <patternFill patternType="solid">
          <fgColor rgb="FFA2C4C9"/>
          <bgColor rgb="FFA2C4C9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color rgb="FFF3F3F3"/>
      </font>
      <fill>
        <patternFill patternType="solid">
          <fgColor rgb="FF98140C"/>
          <bgColor rgb="FF98140C"/>
        </patternFill>
      </fill>
      <border/>
    </dxf>
    <dxf>
      <font>
        <color rgb="FFF3F3F3"/>
      </font>
      <fill>
        <patternFill patternType="solid">
          <fgColor rgb="FF0B5394"/>
          <bgColor rgb="FF0B5394"/>
        </patternFill>
      </fill>
      <border/>
    </dxf>
    <dxf>
      <font>
        <color rgb="FFF3F3F3"/>
      </font>
      <fill>
        <patternFill patternType="solid">
          <fgColor rgb="FF98140C"/>
          <bgColor rgb="FF98140C"/>
        </patternFill>
      </fill>
      <border/>
    </dxf>
    <dxf>
      <font/>
      <fill>
        <patternFill patternType="solid">
          <fgColor rgb="FFFFE1DA"/>
          <bgColor rgb="FFFFE1DA"/>
        </patternFill>
      </fill>
      <border/>
    </dxf>
    <dxf>
      <font/>
      <fill>
        <patternFill patternType="solid">
          <fgColor rgb="FFA3C3C8"/>
          <bgColor rgb="FFA3C3C8"/>
        </patternFill>
      </fill>
      <border/>
    </dxf>
    <dxf>
      <font/>
      <fill>
        <patternFill patternType="solid">
          <fgColor rgb="FFF4B473"/>
          <bgColor rgb="FFF4B473"/>
        </patternFill>
      </fill>
      <border/>
    </dxf>
    <dxf>
      <font/>
      <fill>
        <patternFill patternType="solid">
          <fgColor rgb="FF91C482"/>
          <bgColor rgb="FF91C482"/>
        </patternFill>
      </fill>
      <border/>
    </dxf>
    <dxf>
      <font/>
      <fill>
        <patternFill patternType="solid">
          <fgColor rgb="FF74A6D9"/>
          <bgColor rgb="FF74A6D9"/>
        </patternFill>
      </fill>
      <border/>
    </dxf>
    <dxf>
      <font/>
      <fill>
        <patternFill patternType="solid">
          <fgColor rgb="FF907BC0"/>
          <bgColor rgb="FF907BC0"/>
        </patternFill>
      </fill>
      <border/>
    </dxf>
    <dxf>
      <font/>
      <fill>
        <patternFill patternType="solid">
          <fgColor rgb="FFFEF3CF"/>
          <bgColor rgb="FFFEF3CF"/>
        </patternFill>
      </fill>
      <border/>
    </dxf>
    <dxf>
      <font/>
      <fill>
        <patternFill patternType="solid">
          <fgColor rgb="FFD9EAD4"/>
          <bgColor rgb="FFD9EAD4"/>
        </patternFill>
      </fill>
      <border/>
    </dxf>
    <dxf>
      <font/>
      <fill>
        <patternFill patternType="solid">
          <fgColor rgb="FFD0E1F2"/>
          <bgColor rgb="FFD0E1F2"/>
        </patternFill>
      </fill>
      <border/>
    </dxf>
    <dxf>
      <font/>
      <fill>
        <patternFill patternType="solid">
          <fgColor rgb="FFDAD2E8"/>
          <bgColor rgb="FFDAD2E8"/>
        </patternFill>
      </fill>
      <border/>
    </dxf>
  </dxfs>
  <tableStyles count="6">
    <tableStyle count="2" pivot="0" name="% por actividades-style">
      <tableStyleElement dxfId="1" type="firstRowStripe"/>
      <tableStyleElement dxfId="3" type="secondRowStripe"/>
    </tableStyle>
    <tableStyle count="2" pivot="0" name="Cronograma-style">
      <tableStyleElement dxfId="1" type="firstRowStripe"/>
      <tableStyleElement dxfId="3" type="secondRowStripe"/>
    </tableStyle>
    <tableStyle count="4" pivot="0" name="Tareas-style">
      <tableStyleElement dxfId="2" type="headerRow"/>
      <tableStyleElement dxfId="1" type="firstRowStripe"/>
      <tableStyleElement dxfId="3" type="secondRowStripe"/>
      <tableStyleElement dxfId="4" size="0" type="wholeTable"/>
    </tableStyle>
    <tableStyle count="4" pivot="0" name="Inventario de documentación-style">
      <tableStyleElement dxfId="2" type="headerRow"/>
      <tableStyleElement dxfId="1" type="firstRowStripe"/>
      <tableStyleElement dxfId="3" type="secondRowStripe"/>
      <tableStyleElement dxfId="4" size="0" type="wholeTable"/>
    </tableStyle>
    <tableStyle count="4" pivot="0" name="Registro de historias de usuari-style">
      <tableStyleElement dxfId="2" type="headerRow"/>
      <tableStyleElement dxfId="1" type="firstRowStripe"/>
      <tableStyleElement dxfId="3" type="secondRowStripe"/>
      <tableStyleElement dxfId="4" size="0" type="wholeTable"/>
    </tableStyle>
    <tableStyle count="4" pivot="0" name="Matriz pruebas-style">
      <tableStyleElement dxfId="2" type="headerRow"/>
      <tableStyleElement dxfId="1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491581572" name="Visualization1" title="Visualizació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M8:S93" sheet="% por actividades"/>
  </cacheSource>
  <cacheFields>
    <cacheField name="% Valor Modulo 1">
      <sharedItems containsMixedTypes="1" containsNumber="1">
        <s v=""/>
        <n v="0.043478260869565216"/>
      </sharedItems>
    </cacheField>
    <cacheField name="% Valor Modulo 2">
      <sharedItems containsMixedTypes="1" containsNumber="1">
        <s v=""/>
        <n v="0.09090909090909091"/>
      </sharedItems>
    </cacheField>
    <cacheField name="% Valor Modulo 3">
      <sharedItems containsMixedTypes="1" containsNumber="1">
        <s v=""/>
        <n v="0.16666666666666666"/>
      </sharedItems>
    </cacheField>
    <cacheField name="% Valor Modulo 4">
      <sharedItems containsMixedTypes="1" containsNumber="1">
        <s v=""/>
        <n v="0.3333333333333333"/>
      </sharedItems>
    </cacheField>
    <cacheField name="% Valor Modulo 5">
      <sharedItems containsMixedTypes="1" containsNumber="1">
        <s v=""/>
        <n v="0.05263157894736842"/>
      </sharedItems>
    </cacheField>
    <cacheField name="Mes Esperado" numFmtId="0">
      <sharedItems>
        <s v="agosto 2026"/>
        <s v="mayo 2026"/>
        <s v="octubre 2026"/>
        <s v="septiembre 2026"/>
        <s v="febrero 2027"/>
        <s v="julio 2026"/>
        <s v="noviembre 2026"/>
        <s v="diciembre 2026"/>
        <s v="enero 2027"/>
        <s v="marzo 2027"/>
        <s v=""/>
      </sharedItems>
    </cacheField>
    <cacheField name="Mes Real" numFmtId="0">
      <sharedItems>
        <s v="agosto 2026"/>
        <s v="mayo 2026"/>
        <s v=""/>
        <s v="septiembre 2026"/>
        <s v="julio 2026"/>
        <s v="octubre 202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B8" firstHeaderRow="0" firstDataRow="1" firstDataCol="0"/>
  <pivotFields>
    <pivotField name="% Valor Modulo 1" dataField="1" compact="0" outline="0" multipleItemSelectionAllowed="1" showAll="0">
      <items>
        <item x="0"/>
        <item x="1"/>
        <item t="default"/>
      </items>
    </pivotField>
    <pivotField name="% Valor Modulo 2" compact="0" outline="0" multipleItemSelectionAllowed="1" showAll="0">
      <items>
        <item x="0"/>
        <item x="1"/>
        <item t="default"/>
      </items>
    </pivotField>
    <pivotField name="% Valor Modulo 3" compact="0" outline="0" multipleItemSelectionAllowed="1" showAll="0">
      <items>
        <item x="0"/>
        <item x="1"/>
        <item t="default"/>
      </items>
    </pivotField>
    <pivotField name="% Valor Modulo 4" compact="0" outline="0" multipleItemSelectionAllowed="1" showAll="0">
      <items>
        <item x="0"/>
        <item x="1"/>
        <item t="default"/>
      </items>
    </pivotField>
    <pivotField name="% Valor Modulo 5" compact="0" outline="0" multipleItemSelectionAllowed="1" showAll="0">
      <items>
        <item x="0"/>
        <item x="1"/>
        <item t="default"/>
      </items>
    </pivotField>
    <pivotField name="Mes Esper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es Real" axis="axisRow" compact="0" outline="0" multipleItemSelectionAllowed="1" showAll="0" sortType="ascending">
      <items>
        <item x="2"/>
        <item x="0"/>
        <item x="4"/>
        <item x="1"/>
        <item x="5"/>
        <item x="3"/>
        <item t="default"/>
      </items>
    </pivotField>
  </pivotFields>
  <rowFields>
    <field x="6"/>
  </rowFields>
  <dataFields>
    <dataField name="SUM of % Valor Modulo 1" fld="0" baseField="0"/>
  </dataFields>
</pivotTableDefinition>
</file>

<file path=xl/tables/table1.xml><?xml version="1.0" encoding="utf-8"?>
<table xmlns="http://schemas.openxmlformats.org/spreadsheetml/2006/main" headerRowCount="0" ref="D42:H48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Cronograma-style" showColumnStripes="0" showFirstColumn="1" showLastColumn="1" showRowStripes="1"/>
</table>
</file>

<file path=xl/tables/table2.xml><?xml version="1.0" encoding="utf-8"?>
<table xmlns="http://schemas.openxmlformats.org/spreadsheetml/2006/main" headerRowCount="0" ref="D42:H48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% por actividades-style" showColumnStripes="0" showFirstColumn="1" showLastColumn="1" showRowStripes="1"/>
</table>
</file>

<file path=xl/tables/table3.xml><?xml version="1.0" encoding="utf-8"?>
<table xmlns="http://schemas.openxmlformats.org/spreadsheetml/2006/main" ref="A1:M1037" displayName="Tareas_del_proyecto" name="Tareas_del_proyecto" id="3">
  <tableColumns count="13">
    <tableColumn name="No. " id="1"/>
    <tableColumn name="Tarea" id="2"/>
    <tableColumn name="Impacto" id="3"/>
    <tableColumn name="Responsable" id="4"/>
    <tableColumn name="Estado" id="5"/>
    <tableColumn name="Fecha de requerimiento" id="6"/>
    <tableColumn name="Fecha de inicio de actividad" id="7"/>
    <tableColumn name="Fecha de entrega solicitada" id="8"/>
    <tableColumn name="Fecha de finalización Real" id="9"/>
    <tableColumn name="Hito" id="10"/>
    <tableColumn name="Distribuible" id="11"/>
    <tableColumn name="Notas" id="12"/>
    <tableColumn name="Commit" id="13"/>
  </tableColumns>
  <tableStyleInfo name="Tareas-style" showColumnStripes="0" showFirstColumn="1" showLastColumn="1" showRowStripes="1"/>
</table>
</file>

<file path=xl/tables/table4.xml><?xml version="1.0" encoding="utf-8"?>
<table xmlns="http://schemas.openxmlformats.org/spreadsheetml/2006/main" ref="A1:C11" displayName="Tabla_1" name="Tabla_1" id="4">
  <tableColumns count="3">
    <tableColumn name="Nombre de documento" id="1"/>
    <tableColumn name="Estatus del documento" id="2"/>
    <tableColumn name="Documento adjunto" id="3"/>
  </tableColumns>
  <tableStyleInfo name="Inventario de documentación-style" showColumnStripes="0" showFirstColumn="1" showLastColumn="1" showRowStripes="1"/>
</table>
</file>

<file path=xl/tables/table5.xml><?xml version="1.0" encoding="utf-8"?>
<table xmlns="http://schemas.openxmlformats.org/spreadsheetml/2006/main" ref="A2:L9" displayName="Historia_de_usuario" name="Historia_de_usuario" id="5">
  <tableColumns count="12">
    <tableColumn name="No. Historia _x000a_de Usuario" id="1"/>
    <tableColumn name="Nombre de Historia de Usuario" id="2"/>
    <tableColumn name="Fecha _x000a_de elaboración" id="3"/>
    <tableColumn name="Versión" id="4"/>
    <tableColumn name="Rol de Usuario" id="5"/>
    <tableColumn name="Responsable de elaboración" id="6"/>
    <tableColumn name="Responsable de Revisión TI" id="7"/>
    <tableColumn name="Responsable de Revisión área solicitante" id="8"/>
    <tableColumn name="Autorizador de HU" id="9"/>
    <tableColumn name="Estatus de la HU" id="10"/>
    <tableColumn name="Archivo de la HU" id="11"/>
    <tableColumn name="Comentarios" id="12"/>
  </tableColumns>
  <tableStyleInfo name="Registro de historias de usuari-style" showColumnStripes="0" showFirstColumn="1" showLastColumn="1" showRowStripes="1"/>
</table>
</file>

<file path=xl/tables/table6.xml><?xml version="1.0" encoding="utf-8"?>
<table xmlns="http://schemas.openxmlformats.org/spreadsheetml/2006/main" ref="A2:O75" displayName="Matriz_pruebas" name="Matriz_pruebas" id="6">
  <tableColumns count="15">
    <tableColumn name="Caso de Prueba" id="1"/>
    <tableColumn name="HU" id="2"/>
    <tableColumn name="INCISO/CAMPO" id="3"/>
    <tableColumn name="Valor Esperado" id="4"/>
    <tableColumn name="Valor Real" id="5"/>
    <tableColumn name="Valor no esperado" id="6"/>
    <tableColumn name="Resultado" id="7"/>
    <tableColumn name="Notas" id="8"/>
    <tableColumn name="Detalle de la nota" id="9"/>
    <tableColumn name="prueba desde usuario" id="10"/>
    <tableColumn name="Corregido" id="11"/>
    <tableColumn name="Comentarios de la corrección" id="12"/>
    <tableColumn name="Validación de corrección" id="13"/>
    <tableColumn name="Comentarios de confirmación" id="14"/>
    <tableColumn name="Fecha de cconfirmación" id="15"/>
  </tableColumns>
  <tableStyleInfo name="Matriz prueb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luis.hernandez@alsuper.com" TargetMode="External"/><Relationship Id="rId41" Type="http://schemas.openxmlformats.org/officeDocument/2006/relationships/table" Target="../tables/table1.xml"/><Relationship Id="rId22" Type="http://schemas.openxmlformats.org/officeDocument/2006/relationships/hyperlink" Target="mailto:luis.hernandez@alsuper.com" TargetMode="External"/><Relationship Id="rId21" Type="http://schemas.openxmlformats.org/officeDocument/2006/relationships/hyperlink" Target="mailto:luis.hernandez@alsuper.com" TargetMode="External"/><Relationship Id="rId24" Type="http://schemas.openxmlformats.org/officeDocument/2006/relationships/hyperlink" Target="mailto:luis.hernandez@alsuper.com" TargetMode="External"/><Relationship Id="rId23" Type="http://schemas.openxmlformats.org/officeDocument/2006/relationships/hyperlink" Target="mailto:luis.hernandez@alsuper.com" TargetMode="External"/><Relationship Id="rId1" Type="http://schemas.openxmlformats.org/officeDocument/2006/relationships/hyperlink" Target="mailto:luis.hernandez@alsuper.com" TargetMode="External"/><Relationship Id="rId2" Type="http://schemas.openxmlformats.org/officeDocument/2006/relationships/hyperlink" Target="mailto:luis.hernandez@alsuper.com" TargetMode="External"/><Relationship Id="rId3" Type="http://schemas.openxmlformats.org/officeDocument/2006/relationships/hyperlink" Target="mailto:luis.hernandez@alsuper.com" TargetMode="External"/><Relationship Id="rId4" Type="http://schemas.openxmlformats.org/officeDocument/2006/relationships/hyperlink" Target="mailto:luis.hernandez@alsuper.com" TargetMode="External"/><Relationship Id="rId9" Type="http://schemas.openxmlformats.org/officeDocument/2006/relationships/hyperlink" Target="mailto:marco.fuentes@alsuper.com" TargetMode="External"/><Relationship Id="rId26" Type="http://schemas.openxmlformats.org/officeDocument/2006/relationships/hyperlink" Target="mailto:luis.hernandez@alsuper.com" TargetMode="External"/><Relationship Id="rId25" Type="http://schemas.openxmlformats.org/officeDocument/2006/relationships/hyperlink" Target="mailto:luis.hernandez@alsuper.com" TargetMode="External"/><Relationship Id="rId28" Type="http://schemas.openxmlformats.org/officeDocument/2006/relationships/hyperlink" Target="mailto:luis.hernandez@alsuper.com" TargetMode="External"/><Relationship Id="rId27" Type="http://schemas.openxmlformats.org/officeDocument/2006/relationships/hyperlink" Target="mailto:luis.hernandez@alsuper.com" TargetMode="External"/><Relationship Id="rId5" Type="http://schemas.openxmlformats.org/officeDocument/2006/relationships/hyperlink" Target="mailto:luis.hernandez@alsuper.com" TargetMode="External"/><Relationship Id="rId6" Type="http://schemas.openxmlformats.org/officeDocument/2006/relationships/hyperlink" Target="mailto:luis.hernandez@alsuper.com" TargetMode="External"/><Relationship Id="rId29" Type="http://schemas.openxmlformats.org/officeDocument/2006/relationships/hyperlink" Target="mailto:luis.hernandez@alsuper.com" TargetMode="External"/><Relationship Id="rId7" Type="http://schemas.openxmlformats.org/officeDocument/2006/relationships/hyperlink" Target="mailto:luis.hernandez@alsuper.com" TargetMode="External"/><Relationship Id="rId8" Type="http://schemas.openxmlformats.org/officeDocument/2006/relationships/hyperlink" Target="mailto:marco.fuentes@alsuper.com" TargetMode="External"/><Relationship Id="rId31" Type="http://schemas.openxmlformats.org/officeDocument/2006/relationships/hyperlink" Target="mailto:luis.hernandez@alsuper.com" TargetMode="External"/><Relationship Id="rId30" Type="http://schemas.openxmlformats.org/officeDocument/2006/relationships/hyperlink" Target="mailto:luis.hernandez@alsuper.com" TargetMode="External"/><Relationship Id="rId11" Type="http://schemas.openxmlformats.org/officeDocument/2006/relationships/hyperlink" Target="mailto:marco.fuentes@alsuper.com" TargetMode="External"/><Relationship Id="rId33" Type="http://schemas.openxmlformats.org/officeDocument/2006/relationships/hyperlink" Target="mailto:luis.hernandez@alsuper.com" TargetMode="External"/><Relationship Id="rId10" Type="http://schemas.openxmlformats.org/officeDocument/2006/relationships/hyperlink" Target="mailto:marco.fuentes@alsuper.com" TargetMode="External"/><Relationship Id="rId32" Type="http://schemas.openxmlformats.org/officeDocument/2006/relationships/hyperlink" Target="mailto:fernando.lara@alsuper.com" TargetMode="External"/><Relationship Id="rId13" Type="http://schemas.openxmlformats.org/officeDocument/2006/relationships/hyperlink" Target="mailto:luis.hernandez@alsuper.com" TargetMode="External"/><Relationship Id="rId35" Type="http://schemas.openxmlformats.org/officeDocument/2006/relationships/hyperlink" Target="mailto:luis.hernandez@alsuper.com" TargetMode="External"/><Relationship Id="rId12" Type="http://schemas.openxmlformats.org/officeDocument/2006/relationships/hyperlink" Target="mailto:luis.hernandez@alsuper.com" TargetMode="External"/><Relationship Id="rId34" Type="http://schemas.openxmlformats.org/officeDocument/2006/relationships/hyperlink" Target="mailto:fernando.lara@alsuper.com" TargetMode="External"/><Relationship Id="rId15" Type="http://schemas.openxmlformats.org/officeDocument/2006/relationships/hyperlink" Target="mailto:luis.hernandez@alsuper.com" TargetMode="External"/><Relationship Id="rId37" Type="http://schemas.openxmlformats.org/officeDocument/2006/relationships/hyperlink" Target="mailto:luis.hernandez@alsuper.com" TargetMode="External"/><Relationship Id="rId14" Type="http://schemas.openxmlformats.org/officeDocument/2006/relationships/hyperlink" Target="mailto:luis.hernandez@alsuper.com" TargetMode="External"/><Relationship Id="rId36" Type="http://schemas.openxmlformats.org/officeDocument/2006/relationships/hyperlink" Target="mailto:luis.hernandez@alsuper.com" TargetMode="External"/><Relationship Id="rId17" Type="http://schemas.openxmlformats.org/officeDocument/2006/relationships/hyperlink" Target="mailto:luis.hernandez@alsuper.com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mailto:luis.hernandez@alsuper.com" TargetMode="External"/><Relationship Id="rId38" Type="http://schemas.openxmlformats.org/officeDocument/2006/relationships/hyperlink" Target="mailto:luis.hernandez@alsuper.com" TargetMode="External"/><Relationship Id="rId19" Type="http://schemas.openxmlformats.org/officeDocument/2006/relationships/hyperlink" Target="mailto:luis.hernandez@alsuper.com" TargetMode="External"/><Relationship Id="rId18" Type="http://schemas.openxmlformats.org/officeDocument/2006/relationships/hyperlink" Target="mailto:luis.hernandez@alsuper.com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mailto:luis.hernandez@alsuper.com" TargetMode="External"/><Relationship Id="rId41" Type="http://schemas.openxmlformats.org/officeDocument/2006/relationships/table" Target="../tables/table2.xml"/><Relationship Id="rId22" Type="http://schemas.openxmlformats.org/officeDocument/2006/relationships/hyperlink" Target="mailto:luis.hernandez@alsuper.com" TargetMode="External"/><Relationship Id="rId21" Type="http://schemas.openxmlformats.org/officeDocument/2006/relationships/hyperlink" Target="mailto:luis.hernandez@alsuper.com" TargetMode="External"/><Relationship Id="rId24" Type="http://schemas.openxmlformats.org/officeDocument/2006/relationships/hyperlink" Target="mailto:luis.hernandez@alsuper.com" TargetMode="External"/><Relationship Id="rId23" Type="http://schemas.openxmlformats.org/officeDocument/2006/relationships/hyperlink" Target="mailto:luis.hernandez@alsuper.com" TargetMode="External"/><Relationship Id="rId1" Type="http://schemas.openxmlformats.org/officeDocument/2006/relationships/hyperlink" Target="mailto:luis.hernandez@alsuper.com" TargetMode="External"/><Relationship Id="rId2" Type="http://schemas.openxmlformats.org/officeDocument/2006/relationships/hyperlink" Target="mailto:luis.hernandez@alsuper.com" TargetMode="External"/><Relationship Id="rId3" Type="http://schemas.openxmlformats.org/officeDocument/2006/relationships/hyperlink" Target="mailto:luis.hernandez@alsuper.com" TargetMode="External"/><Relationship Id="rId4" Type="http://schemas.openxmlformats.org/officeDocument/2006/relationships/hyperlink" Target="mailto:luis.hernandez@alsuper.com" TargetMode="External"/><Relationship Id="rId9" Type="http://schemas.openxmlformats.org/officeDocument/2006/relationships/hyperlink" Target="mailto:marco.fuentes@alsuper.com" TargetMode="External"/><Relationship Id="rId26" Type="http://schemas.openxmlformats.org/officeDocument/2006/relationships/hyperlink" Target="mailto:luis.hernandez@alsuper.com" TargetMode="External"/><Relationship Id="rId25" Type="http://schemas.openxmlformats.org/officeDocument/2006/relationships/hyperlink" Target="mailto:luis.hernandez@alsuper.com" TargetMode="External"/><Relationship Id="rId28" Type="http://schemas.openxmlformats.org/officeDocument/2006/relationships/hyperlink" Target="mailto:luis.hernandez@alsuper.com" TargetMode="External"/><Relationship Id="rId27" Type="http://schemas.openxmlformats.org/officeDocument/2006/relationships/hyperlink" Target="mailto:luis.hernandez@alsuper.com" TargetMode="External"/><Relationship Id="rId5" Type="http://schemas.openxmlformats.org/officeDocument/2006/relationships/hyperlink" Target="mailto:luis.hernandez@alsuper.com" TargetMode="External"/><Relationship Id="rId6" Type="http://schemas.openxmlformats.org/officeDocument/2006/relationships/hyperlink" Target="mailto:luis.hernandez@alsuper.com" TargetMode="External"/><Relationship Id="rId29" Type="http://schemas.openxmlformats.org/officeDocument/2006/relationships/hyperlink" Target="mailto:luis.hernandez@alsuper.com" TargetMode="External"/><Relationship Id="rId7" Type="http://schemas.openxmlformats.org/officeDocument/2006/relationships/hyperlink" Target="mailto:luis.hernandez@alsuper.com" TargetMode="External"/><Relationship Id="rId8" Type="http://schemas.openxmlformats.org/officeDocument/2006/relationships/hyperlink" Target="mailto:marco.fuentes@alsuper.com" TargetMode="External"/><Relationship Id="rId31" Type="http://schemas.openxmlformats.org/officeDocument/2006/relationships/hyperlink" Target="mailto:luis.hernandez@alsuper.com" TargetMode="External"/><Relationship Id="rId30" Type="http://schemas.openxmlformats.org/officeDocument/2006/relationships/hyperlink" Target="mailto:luis.hernandez@alsuper.com" TargetMode="External"/><Relationship Id="rId11" Type="http://schemas.openxmlformats.org/officeDocument/2006/relationships/hyperlink" Target="mailto:marco.fuentes@alsuper.com" TargetMode="External"/><Relationship Id="rId33" Type="http://schemas.openxmlformats.org/officeDocument/2006/relationships/hyperlink" Target="mailto:luis.hernandez@alsuper.com" TargetMode="External"/><Relationship Id="rId10" Type="http://schemas.openxmlformats.org/officeDocument/2006/relationships/hyperlink" Target="mailto:marco.fuentes@alsuper.com" TargetMode="External"/><Relationship Id="rId32" Type="http://schemas.openxmlformats.org/officeDocument/2006/relationships/hyperlink" Target="mailto:fernando.lara@alsuper.com" TargetMode="External"/><Relationship Id="rId13" Type="http://schemas.openxmlformats.org/officeDocument/2006/relationships/hyperlink" Target="mailto:luis.hernandez@alsuper.com" TargetMode="External"/><Relationship Id="rId35" Type="http://schemas.openxmlformats.org/officeDocument/2006/relationships/hyperlink" Target="mailto:luis.hernandez@alsuper.com" TargetMode="External"/><Relationship Id="rId12" Type="http://schemas.openxmlformats.org/officeDocument/2006/relationships/hyperlink" Target="mailto:luis.hernandez@alsuper.com" TargetMode="External"/><Relationship Id="rId34" Type="http://schemas.openxmlformats.org/officeDocument/2006/relationships/hyperlink" Target="mailto:fernando.lara@alsuper.com" TargetMode="External"/><Relationship Id="rId15" Type="http://schemas.openxmlformats.org/officeDocument/2006/relationships/hyperlink" Target="mailto:luis.hernandez@alsuper.com" TargetMode="External"/><Relationship Id="rId37" Type="http://schemas.openxmlformats.org/officeDocument/2006/relationships/hyperlink" Target="mailto:luis.hernandez@alsuper.com" TargetMode="External"/><Relationship Id="rId14" Type="http://schemas.openxmlformats.org/officeDocument/2006/relationships/hyperlink" Target="mailto:luis.hernandez@alsuper.com" TargetMode="External"/><Relationship Id="rId36" Type="http://schemas.openxmlformats.org/officeDocument/2006/relationships/hyperlink" Target="mailto:luis.hernandez@alsuper.com" TargetMode="External"/><Relationship Id="rId17" Type="http://schemas.openxmlformats.org/officeDocument/2006/relationships/hyperlink" Target="mailto:luis.hernandez@alsuper.com" TargetMode="External"/><Relationship Id="rId39" Type="http://schemas.openxmlformats.org/officeDocument/2006/relationships/drawing" Target="../drawings/drawing2.xml"/><Relationship Id="rId16" Type="http://schemas.openxmlformats.org/officeDocument/2006/relationships/hyperlink" Target="mailto:luis.hernandez@alsuper.com" TargetMode="External"/><Relationship Id="rId38" Type="http://schemas.openxmlformats.org/officeDocument/2006/relationships/hyperlink" Target="mailto:luis.hernandez@alsuper.com" TargetMode="External"/><Relationship Id="rId19" Type="http://schemas.openxmlformats.org/officeDocument/2006/relationships/hyperlink" Target="mailto:luis.hernandez@alsuper.com" TargetMode="External"/><Relationship Id="rId18" Type="http://schemas.openxmlformats.org/officeDocument/2006/relationships/hyperlink" Target="mailto:luis.hernandez@alsuper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mailto:luis.hernandez@alsuper.com" TargetMode="External"/><Relationship Id="rId194" Type="http://schemas.openxmlformats.org/officeDocument/2006/relationships/hyperlink" Target="mailto:luis.hernandez@alsuper.com" TargetMode="External"/><Relationship Id="rId193" Type="http://schemas.openxmlformats.org/officeDocument/2006/relationships/hyperlink" Target="https://code.alsuper.com/Infraestructura/idp/-/commit/cede5dc" TargetMode="External"/><Relationship Id="rId192" Type="http://schemas.openxmlformats.org/officeDocument/2006/relationships/hyperlink" Target="mailto:luis.hernandez@alsuper.com" TargetMode="External"/><Relationship Id="rId191" Type="http://schemas.openxmlformats.org/officeDocument/2006/relationships/hyperlink" Target="https://code.alsuper.com/Infraestructura/idp/-/commit/5d766e3" TargetMode="External"/><Relationship Id="rId187" Type="http://schemas.openxmlformats.org/officeDocument/2006/relationships/hyperlink" Target="https://code.alsuper.com/Infraestructura/idp/-/commit/53c2562" TargetMode="External"/><Relationship Id="rId186" Type="http://schemas.openxmlformats.org/officeDocument/2006/relationships/hyperlink" Target="mailto:luis.hernandez@alsuper.com" TargetMode="External"/><Relationship Id="rId185" Type="http://schemas.openxmlformats.org/officeDocument/2006/relationships/hyperlink" Target="https://code.alsuper.com/Infraestructura/idp/-/commit/6bcb9ef" TargetMode="External"/><Relationship Id="rId184" Type="http://schemas.openxmlformats.org/officeDocument/2006/relationships/hyperlink" Target="mailto:luis.hernandez@alsuper.com" TargetMode="External"/><Relationship Id="rId189" Type="http://schemas.openxmlformats.org/officeDocument/2006/relationships/hyperlink" Target="https://code.alsuper.com/Infraestructura/idp/-/commit/27a9c0c" TargetMode="External"/><Relationship Id="rId188" Type="http://schemas.openxmlformats.org/officeDocument/2006/relationships/hyperlink" Target="mailto:luis.hernandez@alsuper.com" TargetMode="External"/><Relationship Id="rId183" Type="http://schemas.openxmlformats.org/officeDocument/2006/relationships/hyperlink" Target="https://code.alsuper.com/Infraestructura/idp/-/commit/34eb1e7" TargetMode="External"/><Relationship Id="rId182" Type="http://schemas.openxmlformats.org/officeDocument/2006/relationships/hyperlink" Target="mailto:luis.hernandez@alsuper.com" TargetMode="External"/><Relationship Id="rId181" Type="http://schemas.openxmlformats.org/officeDocument/2006/relationships/hyperlink" Target="https://code.alsuper.com/Infraestructura/idp/-/commit/aa73af4" TargetMode="External"/><Relationship Id="rId180" Type="http://schemas.openxmlformats.org/officeDocument/2006/relationships/hyperlink" Target="mailto:luis.hernandez@alsuper.com" TargetMode="External"/><Relationship Id="rId176" Type="http://schemas.openxmlformats.org/officeDocument/2006/relationships/hyperlink" Target="mailto:luis.hernandez@alsuper.com" TargetMode="External"/><Relationship Id="rId297" Type="http://schemas.openxmlformats.org/officeDocument/2006/relationships/hyperlink" Target="https://code.alsuper.com/Infraestructura/idp/-/commit/6d568e2" TargetMode="External"/><Relationship Id="rId175" Type="http://schemas.openxmlformats.org/officeDocument/2006/relationships/hyperlink" Target="https://code.alsuper.com/Infraestructura/idp/-/commit/11dc591" TargetMode="External"/><Relationship Id="rId296" Type="http://schemas.openxmlformats.org/officeDocument/2006/relationships/hyperlink" Target="mailto:luis.hernandez@alsuper.com" TargetMode="External"/><Relationship Id="rId174" Type="http://schemas.openxmlformats.org/officeDocument/2006/relationships/hyperlink" Target="mailto:luis.hernandez@alsuper.com" TargetMode="External"/><Relationship Id="rId295" Type="http://schemas.openxmlformats.org/officeDocument/2006/relationships/hyperlink" Target="https://code.alsuper.com/Infraestructura/idp/-/commit/97aa22c" TargetMode="External"/><Relationship Id="rId173" Type="http://schemas.openxmlformats.org/officeDocument/2006/relationships/hyperlink" Target="https://code.alsuper.com/Infraestructura/idp/-/commit/0f44ee3" TargetMode="External"/><Relationship Id="rId294" Type="http://schemas.openxmlformats.org/officeDocument/2006/relationships/hyperlink" Target="mailto:luis.hernandez@alsuper.com" TargetMode="External"/><Relationship Id="rId179" Type="http://schemas.openxmlformats.org/officeDocument/2006/relationships/hyperlink" Target="https://code.alsuper.com/Infraestructura/idp/-/commit/30600d4" TargetMode="External"/><Relationship Id="rId178" Type="http://schemas.openxmlformats.org/officeDocument/2006/relationships/hyperlink" Target="mailto:luis.hernandez@alsuper.com" TargetMode="External"/><Relationship Id="rId299" Type="http://schemas.openxmlformats.org/officeDocument/2006/relationships/hyperlink" Target="https://code.alsuper.com/Infraestructura/idp/-/commit/00ac4fc" TargetMode="External"/><Relationship Id="rId177" Type="http://schemas.openxmlformats.org/officeDocument/2006/relationships/hyperlink" Target="https://code.alsuper.com/Infraestructura/idp/-/commit/785b8f3" TargetMode="External"/><Relationship Id="rId298" Type="http://schemas.openxmlformats.org/officeDocument/2006/relationships/hyperlink" Target="mailto:luis.hernandez@alsuper.com" TargetMode="External"/><Relationship Id="rId198" Type="http://schemas.openxmlformats.org/officeDocument/2006/relationships/hyperlink" Target="mailto:luis.hernandez@alsuper.com" TargetMode="External"/><Relationship Id="rId197" Type="http://schemas.openxmlformats.org/officeDocument/2006/relationships/hyperlink" Target="https://code.alsuper.com/Infraestructura/idp/-/commit/ff57473" TargetMode="External"/><Relationship Id="rId196" Type="http://schemas.openxmlformats.org/officeDocument/2006/relationships/hyperlink" Target="mailto:luis.hernandez@alsuper.com" TargetMode="External"/><Relationship Id="rId195" Type="http://schemas.openxmlformats.org/officeDocument/2006/relationships/hyperlink" Target="https://code.alsuper.com/Infraestructura/idp/-/commit/11b1874" TargetMode="External"/><Relationship Id="rId199" Type="http://schemas.openxmlformats.org/officeDocument/2006/relationships/hyperlink" Target="https://code.alsuper.com/Infraestructura/idp/-/commit/cdabcf0" TargetMode="External"/><Relationship Id="rId150" Type="http://schemas.openxmlformats.org/officeDocument/2006/relationships/hyperlink" Target="mailto:luis.hernandez@alsuper.com" TargetMode="External"/><Relationship Id="rId271" Type="http://schemas.openxmlformats.org/officeDocument/2006/relationships/hyperlink" Target="mailto:luis.hernandez@alsuper.com" TargetMode="External"/><Relationship Id="rId392" Type="http://schemas.openxmlformats.org/officeDocument/2006/relationships/hyperlink" Target="mailto:luis.hernandez@alsuper.com" TargetMode="External"/><Relationship Id="rId270" Type="http://schemas.openxmlformats.org/officeDocument/2006/relationships/hyperlink" Target="https://code.alsuper.com/Infraestructura/idp/-/commit/971bc31" TargetMode="External"/><Relationship Id="rId391" Type="http://schemas.openxmlformats.org/officeDocument/2006/relationships/hyperlink" Target="mailto:luis.hernandez@alsuper.com" TargetMode="External"/><Relationship Id="rId390" Type="http://schemas.openxmlformats.org/officeDocument/2006/relationships/hyperlink" Target="https://code.alsuper.com/Infraestructura/idp/-/commit/375d4c6" TargetMode="External"/><Relationship Id="rId1" Type="http://schemas.openxmlformats.org/officeDocument/2006/relationships/hyperlink" Target="mailto:luis.hernandez@alsuper.com" TargetMode="External"/><Relationship Id="rId2" Type="http://schemas.openxmlformats.org/officeDocument/2006/relationships/hyperlink" Target="mailto:luis.hernandez@alsuper.com" TargetMode="External"/><Relationship Id="rId3" Type="http://schemas.openxmlformats.org/officeDocument/2006/relationships/hyperlink" Target="mailto:luis.hernandez@alsuper.com" TargetMode="External"/><Relationship Id="rId149" Type="http://schemas.openxmlformats.org/officeDocument/2006/relationships/hyperlink" Target="https://code.alsuper.com/Infraestructura/idp/-/commit/4fca067" TargetMode="External"/><Relationship Id="rId4" Type="http://schemas.openxmlformats.org/officeDocument/2006/relationships/hyperlink" Target="mailto:luis.hernandez@alsuper.com" TargetMode="External"/><Relationship Id="rId148" Type="http://schemas.openxmlformats.org/officeDocument/2006/relationships/hyperlink" Target="mailto:luis.hernandez@alsuper.com" TargetMode="External"/><Relationship Id="rId269" Type="http://schemas.openxmlformats.org/officeDocument/2006/relationships/hyperlink" Target="mailto:luis.hernandez@alsuper.com" TargetMode="External"/><Relationship Id="rId9" Type="http://schemas.openxmlformats.org/officeDocument/2006/relationships/hyperlink" Target="mailto:luis.hernandez@alsuper.com" TargetMode="External"/><Relationship Id="rId143" Type="http://schemas.openxmlformats.org/officeDocument/2006/relationships/hyperlink" Target="https://code.alsuper.com/Infraestructura/idp/-/commit/c076cb7" TargetMode="External"/><Relationship Id="rId264" Type="http://schemas.openxmlformats.org/officeDocument/2006/relationships/hyperlink" Target="https://code.alsuper.com/Infraestructura/idp/-/commit/093209d" TargetMode="External"/><Relationship Id="rId385" Type="http://schemas.openxmlformats.org/officeDocument/2006/relationships/hyperlink" Target="https://code.alsuper.com/Infraestructura/idp/-/commit/d7ff698" TargetMode="External"/><Relationship Id="rId142" Type="http://schemas.openxmlformats.org/officeDocument/2006/relationships/hyperlink" Target="mailto:luis.hernandez@alsuper.com" TargetMode="External"/><Relationship Id="rId263" Type="http://schemas.openxmlformats.org/officeDocument/2006/relationships/hyperlink" Target="mailto:luis.hernandez@alsuper.com" TargetMode="External"/><Relationship Id="rId384" Type="http://schemas.openxmlformats.org/officeDocument/2006/relationships/hyperlink" Target="mailto:luis.hernandez@alsuper.com" TargetMode="External"/><Relationship Id="rId141" Type="http://schemas.openxmlformats.org/officeDocument/2006/relationships/hyperlink" Target="https://code.alsuper.com/Infraestructura/idp/-/commit/c076cb7" TargetMode="External"/><Relationship Id="rId262" Type="http://schemas.openxmlformats.org/officeDocument/2006/relationships/hyperlink" Target="https://code.alsuper.com/Infraestructura/idp/-/commit/261cb70" TargetMode="External"/><Relationship Id="rId383" Type="http://schemas.openxmlformats.org/officeDocument/2006/relationships/hyperlink" Target="https://code.alsuper.com/Infraestructura/idp/-/commit/d7ff698" TargetMode="External"/><Relationship Id="rId140" Type="http://schemas.openxmlformats.org/officeDocument/2006/relationships/hyperlink" Target="mailto:luis.hernandez@alsuper.com" TargetMode="External"/><Relationship Id="rId261" Type="http://schemas.openxmlformats.org/officeDocument/2006/relationships/hyperlink" Target="mailto:luis.hernandez@alsuper.com" TargetMode="External"/><Relationship Id="rId382" Type="http://schemas.openxmlformats.org/officeDocument/2006/relationships/hyperlink" Target="mailto:luis.hernandez@alsuper.com" TargetMode="External"/><Relationship Id="rId5" Type="http://schemas.openxmlformats.org/officeDocument/2006/relationships/hyperlink" Target="mailto:luis.hernandez@alsuper.com" TargetMode="External"/><Relationship Id="rId147" Type="http://schemas.openxmlformats.org/officeDocument/2006/relationships/hyperlink" Target="https://code.alsuper.com/Infraestructura/idp/-/commit/81c11cc" TargetMode="External"/><Relationship Id="rId268" Type="http://schemas.openxmlformats.org/officeDocument/2006/relationships/hyperlink" Target="https://code.alsuper.com/Infraestructura/idp/-/commit/d4bcd2c" TargetMode="External"/><Relationship Id="rId389" Type="http://schemas.openxmlformats.org/officeDocument/2006/relationships/hyperlink" Target="mailto:luis.hernandez@alsuper.com" TargetMode="External"/><Relationship Id="rId6" Type="http://schemas.openxmlformats.org/officeDocument/2006/relationships/hyperlink" Target="mailto:luis.hernandez@alsuper.com" TargetMode="External"/><Relationship Id="rId146" Type="http://schemas.openxmlformats.org/officeDocument/2006/relationships/hyperlink" Target="mailto:luis.hernandez@alsuper.com" TargetMode="External"/><Relationship Id="rId267" Type="http://schemas.openxmlformats.org/officeDocument/2006/relationships/hyperlink" Target="mailto:luis.hernandez@alsuper.com" TargetMode="External"/><Relationship Id="rId388" Type="http://schemas.openxmlformats.org/officeDocument/2006/relationships/hyperlink" Target="mailto:luis.hernandez@alsuper.com" TargetMode="External"/><Relationship Id="rId7" Type="http://schemas.openxmlformats.org/officeDocument/2006/relationships/hyperlink" Target="mailto:luis.hernandez@alsuper.com" TargetMode="External"/><Relationship Id="rId145" Type="http://schemas.openxmlformats.org/officeDocument/2006/relationships/hyperlink" Target="https://code.alsuper.com/Infraestructura/idp/-/commit/9d213d5" TargetMode="External"/><Relationship Id="rId266" Type="http://schemas.openxmlformats.org/officeDocument/2006/relationships/hyperlink" Target="https://code.alsuper.com/Infraestructura/idp/-/commit/c594415" TargetMode="External"/><Relationship Id="rId387" Type="http://schemas.openxmlformats.org/officeDocument/2006/relationships/hyperlink" Target="https://code.alsuper.com/Infraestructura/idp/-/commit/d7ff698" TargetMode="External"/><Relationship Id="rId8" Type="http://schemas.openxmlformats.org/officeDocument/2006/relationships/hyperlink" Target="mailto:luis.hernandez@alsuper.com" TargetMode="External"/><Relationship Id="rId144" Type="http://schemas.openxmlformats.org/officeDocument/2006/relationships/hyperlink" Target="mailto:luis.hernandez@alsuper.com" TargetMode="External"/><Relationship Id="rId265" Type="http://schemas.openxmlformats.org/officeDocument/2006/relationships/hyperlink" Target="mailto:luis.hernandez@alsuper.com" TargetMode="External"/><Relationship Id="rId386" Type="http://schemas.openxmlformats.org/officeDocument/2006/relationships/hyperlink" Target="mailto:luis.hernandez@alsuper.com" TargetMode="External"/><Relationship Id="rId260" Type="http://schemas.openxmlformats.org/officeDocument/2006/relationships/hyperlink" Target="https://code.alsuper.com/Infraestructura/idp/-/commit/80d3378" TargetMode="External"/><Relationship Id="rId381" Type="http://schemas.openxmlformats.org/officeDocument/2006/relationships/hyperlink" Target="mailto:luis.hernandez@alsuper.com" TargetMode="External"/><Relationship Id="rId380" Type="http://schemas.openxmlformats.org/officeDocument/2006/relationships/hyperlink" Target="https://code.alsuper.com/Infraestructura/idp/-/commit/61b6e08" TargetMode="External"/><Relationship Id="rId139" Type="http://schemas.openxmlformats.org/officeDocument/2006/relationships/hyperlink" Target="https://code.alsuper.com/Infraestructura/idp/-/commit/c076cb7" TargetMode="External"/><Relationship Id="rId138" Type="http://schemas.openxmlformats.org/officeDocument/2006/relationships/hyperlink" Target="mailto:luis.hernandez@alsuper.com" TargetMode="External"/><Relationship Id="rId259" Type="http://schemas.openxmlformats.org/officeDocument/2006/relationships/hyperlink" Target="mailto:luis.hernandez@alsuper.com" TargetMode="External"/><Relationship Id="rId137" Type="http://schemas.openxmlformats.org/officeDocument/2006/relationships/hyperlink" Target="https://code.alsuper.com/Infraestructura/idp/-/commit/c076cb7" TargetMode="External"/><Relationship Id="rId258" Type="http://schemas.openxmlformats.org/officeDocument/2006/relationships/hyperlink" Target="https://code.alsuper.com/Infraestructura/idp/-/commit/008e17e" TargetMode="External"/><Relationship Id="rId379" Type="http://schemas.openxmlformats.org/officeDocument/2006/relationships/hyperlink" Target="mailto:luis.hernandez@alsuper.com" TargetMode="External"/><Relationship Id="rId132" Type="http://schemas.openxmlformats.org/officeDocument/2006/relationships/hyperlink" Target="mailto:luis.hernandez@alsuper.com" TargetMode="External"/><Relationship Id="rId253" Type="http://schemas.openxmlformats.org/officeDocument/2006/relationships/hyperlink" Target="mailto:luis.hernandez@alsuper.com" TargetMode="External"/><Relationship Id="rId374" Type="http://schemas.openxmlformats.org/officeDocument/2006/relationships/hyperlink" Target="https://code.alsuper.com/Infraestructura/idp/-/commit/f63b187" TargetMode="External"/><Relationship Id="rId495" Type="http://schemas.openxmlformats.org/officeDocument/2006/relationships/hyperlink" Target="https://code.alsuper.com/Infraestructura/idp/-/commit/3d0a5c4" TargetMode="External"/><Relationship Id="rId131" Type="http://schemas.openxmlformats.org/officeDocument/2006/relationships/hyperlink" Target="https://code.alsuper.com/Infraestructura/idp/-/commit/c076cb7" TargetMode="External"/><Relationship Id="rId252" Type="http://schemas.openxmlformats.org/officeDocument/2006/relationships/hyperlink" Target="https://code.alsuper.com/Infraestructura/idp/-/commit/7fbf056" TargetMode="External"/><Relationship Id="rId373" Type="http://schemas.openxmlformats.org/officeDocument/2006/relationships/hyperlink" Target="mailto:luis.hernandez@alsuper.com" TargetMode="External"/><Relationship Id="rId494" Type="http://schemas.openxmlformats.org/officeDocument/2006/relationships/hyperlink" Target="mailto:luis.hernandez@alsuper.com" TargetMode="External"/><Relationship Id="rId130" Type="http://schemas.openxmlformats.org/officeDocument/2006/relationships/hyperlink" Target="mailto:luis.hernandez@alsuper.com" TargetMode="External"/><Relationship Id="rId251" Type="http://schemas.openxmlformats.org/officeDocument/2006/relationships/hyperlink" Target="mailto:luis.hernandez@alsuper.com" TargetMode="External"/><Relationship Id="rId372" Type="http://schemas.openxmlformats.org/officeDocument/2006/relationships/hyperlink" Target="https://code.alsuper.com/Infraestructura/idp/-/commit/f63b187" TargetMode="External"/><Relationship Id="rId493" Type="http://schemas.openxmlformats.org/officeDocument/2006/relationships/hyperlink" Target="https://code.alsuper.com/Infraestructura/idp/-/blob/master/documentacion/CONTINUIDAD_MIGRACION.md" TargetMode="External"/><Relationship Id="rId250" Type="http://schemas.openxmlformats.org/officeDocument/2006/relationships/hyperlink" Target="https://code.alsuper.com/Infraestructura/idp/-/commit/ba9e5a5" TargetMode="External"/><Relationship Id="rId371" Type="http://schemas.openxmlformats.org/officeDocument/2006/relationships/hyperlink" Target="mailto:luis.hernandez@alsuper.com" TargetMode="External"/><Relationship Id="rId492" Type="http://schemas.openxmlformats.org/officeDocument/2006/relationships/hyperlink" Target="mailto:luis.hernandez@alsuper.com" TargetMode="External"/><Relationship Id="rId136" Type="http://schemas.openxmlformats.org/officeDocument/2006/relationships/hyperlink" Target="mailto:luis.hernandez@alsuper.com" TargetMode="External"/><Relationship Id="rId257" Type="http://schemas.openxmlformats.org/officeDocument/2006/relationships/hyperlink" Target="mailto:luis.hernandez@alsuper.com" TargetMode="External"/><Relationship Id="rId378" Type="http://schemas.openxmlformats.org/officeDocument/2006/relationships/hyperlink" Target="https://code.alsuper.com/Infraestructura/idp/-/commit/3ce922f" TargetMode="External"/><Relationship Id="rId499" Type="http://schemas.openxmlformats.org/officeDocument/2006/relationships/hyperlink" Target="https://code.alsuper.com/Infraestructura/idp/-/commit/489e15f" TargetMode="External"/><Relationship Id="rId135" Type="http://schemas.openxmlformats.org/officeDocument/2006/relationships/hyperlink" Target="https://code.alsuper.com/Infraestructura/idp/-/commit/c076cb7" TargetMode="External"/><Relationship Id="rId256" Type="http://schemas.openxmlformats.org/officeDocument/2006/relationships/hyperlink" Target="https://code.alsuper.com/Infraestructura/idp/-/commit/008e17e" TargetMode="External"/><Relationship Id="rId377" Type="http://schemas.openxmlformats.org/officeDocument/2006/relationships/hyperlink" Target="mailto:luis.hernandez@alsuper.com" TargetMode="External"/><Relationship Id="rId498" Type="http://schemas.openxmlformats.org/officeDocument/2006/relationships/hyperlink" Target="mailto:luis.hernandez@alsuper.com" TargetMode="External"/><Relationship Id="rId134" Type="http://schemas.openxmlformats.org/officeDocument/2006/relationships/hyperlink" Target="mailto:luis.hernandez@alsuper.com" TargetMode="External"/><Relationship Id="rId255" Type="http://schemas.openxmlformats.org/officeDocument/2006/relationships/hyperlink" Target="mailto:luis.hernandez@alsuper.com" TargetMode="External"/><Relationship Id="rId376" Type="http://schemas.openxmlformats.org/officeDocument/2006/relationships/hyperlink" Target="mailto:luis.hernandez@alsuper.com" TargetMode="External"/><Relationship Id="rId497" Type="http://schemas.openxmlformats.org/officeDocument/2006/relationships/hyperlink" Target="mailto:luis.hernandez@alsuper.com" TargetMode="External"/><Relationship Id="rId133" Type="http://schemas.openxmlformats.org/officeDocument/2006/relationships/hyperlink" Target="https://code.alsuper.com/Infraestructura/idp/-/commit/c076cb7" TargetMode="External"/><Relationship Id="rId254" Type="http://schemas.openxmlformats.org/officeDocument/2006/relationships/hyperlink" Target="http://issues_xml_pedimento.md" TargetMode="External"/><Relationship Id="rId375" Type="http://schemas.openxmlformats.org/officeDocument/2006/relationships/hyperlink" Target="mailto:luis.hernandez@alsuper.com" TargetMode="External"/><Relationship Id="rId496" Type="http://schemas.openxmlformats.org/officeDocument/2006/relationships/hyperlink" Target="mailto:luis.hernandez@alsuper.com" TargetMode="External"/><Relationship Id="rId172" Type="http://schemas.openxmlformats.org/officeDocument/2006/relationships/hyperlink" Target="mailto:luis.hernandez@alsuper.com" TargetMode="External"/><Relationship Id="rId293" Type="http://schemas.openxmlformats.org/officeDocument/2006/relationships/hyperlink" Target="https://code.alsuper.com/Infraestructura/idp/-/commit/8c44a11" TargetMode="External"/><Relationship Id="rId171" Type="http://schemas.openxmlformats.org/officeDocument/2006/relationships/hyperlink" Target="https://code.alsuper.com/Infraestructura/idp/-/commit/6f094b1" TargetMode="External"/><Relationship Id="rId292" Type="http://schemas.openxmlformats.org/officeDocument/2006/relationships/hyperlink" Target="mailto:luis.hernandez@alsuper.com" TargetMode="External"/><Relationship Id="rId170" Type="http://schemas.openxmlformats.org/officeDocument/2006/relationships/hyperlink" Target="mailto:luis.hernandez@alsuper.com" TargetMode="External"/><Relationship Id="rId291" Type="http://schemas.openxmlformats.org/officeDocument/2006/relationships/hyperlink" Target="https://code.alsuper.com/Infraestructura/idp/-/commit/15b1fe9" TargetMode="External"/><Relationship Id="rId290" Type="http://schemas.openxmlformats.org/officeDocument/2006/relationships/hyperlink" Target="mailto:luis.hernandez@alsuper.com" TargetMode="External"/><Relationship Id="rId165" Type="http://schemas.openxmlformats.org/officeDocument/2006/relationships/hyperlink" Target="https://code.alsuper.com/Infraestructura/idp/-/commit/11dc591" TargetMode="External"/><Relationship Id="rId286" Type="http://schemas.openxmlformats.org/officeDocument/2006/relationships/hyperlink" Target="mailto:luis.hernandez@alsuper.com" TargetMode="External"/><Relationship Id="rId164" Type="http://schemas.openxmlformats.org/officeDocument/2006/relationships/hyperlink" Target="mailto:luis.hernandez@alsuper.com" TargetMode="External"/><Relationship Id="rId285" Type="http://schemas.openxmlformats.org/officeDocument/2006/relationships/hyperlink" Target="https://code.alsuper.com/Infraestructura/idp/-/commit/8b1c885" TargetMode="External"/><Relationship Id="rId163" Type="http://schemas.openxmlformats.org/officeDocument/2006/relationships/hyperlink" Target="https://code.alsuper.com/Infraestructura/idp/-/commit/db3f2e5" TargetMode="External"/><Relationship Id="rId284" Type="http://schemas.openxmlformats.org/officeDocument/2006/relationships/hyperlink" Target="mailto:luis.hernandez@alsuper.com" TargetMode="External"/><Relationship Id="rId162" Type="http://schemas.openxmlformats.org/officeDocument/2006/relationships/hyperlink" Target="mailto:luis.hernandez@alsuper.com" TargetMode="External"/><Relationship Id="rId283" Type="http://schemas.openxmlformats.org/officeDocument/2006/relationships/hyperlink" Target="https://code.alsuper.com/Infraestructura/idp/-/commit/00ac4fc" TargetMode="External"/><Relationship Id="rId169" Type="http://schemas.openxmlformats.org/officeDocument/2006/relationships/hyperlink" Target="https://code.alsuper.com/Infraestructura/idp/-/commit/cc5c1e2" TargetMode="External"/><Relationship Id="rId168" Type="http://schemas.openxmlformats.org/officeDocument/2006/relationships/hyperlink" Target="mailto:luis.hernandez@alsuper.com" TargetMode="External"/><Relationship Id="rId289" Type="http://schemas.openxmlformats.org/officeDocument/2006/relationships/hyperlink" Target="https://code.alsuper.com/Infraestructura/idp/-/commit/ffd2630" TargetMode="External"/><Relationship Id="rId167" Type="http://schemas.openxmlformats.org/officeDocument/2006/relationships/hyperlink" Target="https://code.alsuper.com/Infraestructura/idp/-/commit/4f2a894" TargetMode="External"/><Relationship Id="rId288" Type="http://schemas.openxmlformats.org/officeDocument/2006/relationships/hyperlink" Target="mailto:luis.hernandez@alsuper.com" TargetMode="External"/><Relationship Id="rId166" Type="http://schemas.openxmlformats.org/officeDocument/2006/relationships/hyperlink" Target="mailto:luis.hernandez@alsuper.com" TargetMode="External"/><Relationship Id="rId287" Type="http://schemas.openxmlformats.org/officeDocument/2006/relationships/hyperlink" Target="https://code.alsuper.com/Infraestructura/idp/-/commit/c267fe0" TargetMode="External"/><Relationship Id="rId161" Type="http://schemas.openxmlformats.org/officeDocument/2006/relationships/hyperlink" Target="https://code.alsuper.com/Infraestructura/idp/-/commit/2d5b514" TargetMode="External"/><Relationship Id="rId282" Type="http://schemas.openxmlformats.org/officeDocument/2006/relationships/hyperlink" Target="mailto:luis.hernandez@alsuper.com" TargetMode="External"/><Relationship Id="rId160" Type="http://schemas.openxmlformats.org/officeDocument/2006/relationships/hyperlink" Target="mailto:luis.hernandez@alsuper.com" TargetMode="External"/><Relationship Id="rId281" Type="http://schemas.openxmlformats.org/officeDocument/2006/relationships/hyperlink" Target="mailto:luis.hernandez@alsuper.com" TargetMode="External"/><Relationship Id="rId280" Type="http://schemas.openxmlformats.org/officeDocument/2006/relationships/hyperlink" Target="https://code.alsuper.com/Infraestructura/idp/-/commit/c3fe12f" TargetMode="External"/><Relationship Id="rId159" Type="http://schemas.openxmlformats.org/officeDocument/2006/relationships/hyperlink" Target="https://code.alsuper.com/Infraestructura/idp/-/commit/88ac9b0" TargetMode="External"/><Relationship Id="rId154" Type="http://schemas.openxmlformats.org/officeDocument/2006/relationships/hyperlink" Target="mailto:luis.hernandez@alsuper.com" TargetMode="External"/><Relationship Id="rId275" Type="http://schemas.openxmlformats.org/officeDocument/2006/relationships/hyperlink" Target="mailto:luis.hernandez@alsuper.com" TargetMode="External"/><Relationship Id="rId396" Type="http://schemas.openxmlformats.org/officeDocument/2006/relationships/hyperlink" Target="mailto:luis.hernandez@alsuper.com" TargetMode="External"/><Relationship Id="rId153" Type="http://schemas.openxmlformats.org/officeDocument/2006/relationships/hyperlink" Target="https://code.alsuper.com/Infraestructura/idp/-/commit/2b8e5d4" TargetMode="External"/><Relationship Id="rId274" Type="http://schemas.openxmlformats.org/officeDocument/2006/relationships/hyperlink" Target="https://code.alsuper.com/Infraestructura/idp/-/commit/4656e4a" TargetMode="External"/><Relationship Id="rId395" Type="http://schemas.openxmlformats.org/officeDocument/2006/relationships/hyperlink" Target="https://code.alsuper.com/Infraestructura/idp/-/commit/12b305c" TargetMode="External"/><Relationship Id="rId152" Type="http://schemas.openxmlformats.org/officeDocument/2006/relationships/hyperlink" Target="mailto:luis.hernandez@alsuper.com" TargetMode="External"/><Relationship Id="rId273" Type="http://schemas.openxmlformats.org/officeDocument/2006/relationships/hyperlink" Target="mailto:luis.hernandez@alsuper.com" TargetMode="External"/><Relationship Id="rId394" Type="http://schemas.openxmlformats.org/officeDocument/2006/relationships/hyperlink" Target="mailto:luis.hernandez@alsuper.com" TargetMode="External"/><Relationship Id="rId151" Type="http://schemas.openxmlformats.org/officeDocument/2006/relationships/hyperlink" Target="https://code.alsuper.com/Infraestructura/idp/-/commit/8cabef9" TargetMode="External"/><Relationship Id="rId272" Type="http://schemas.openxmlformats.org/officeDocument/2006/relationships/hyperlink" Target="https://code.alsuper.com/Infraestructura/idp/-/commit/dd54437" TargetMode="External"/><Relationship Id="rId393" Type="http://schemas.openxmlformats.org/officeDocument/2006/relationships/hyperlink" Target="https://code.alsuper.com/Infraestructura/idp/-/commit/12b305c" TargetMode="External"/><Relationship Id="rId158" Type="http://schemas.openxmlformats.org/officeDocument/2006/relationships/hyperlink" Target="mailto:luis.hernandez@alsuper.com" TargetMode="External"/><Relationship Id="rId279" Type="http://schemas.openxmlformats.org/officeDocument/2006/relationships/hyperlink" Target="mailto:luis.hernandez@alsuper.com" TargetMode="External"/><Relationship Id="rId157" Type="http://schemas.openxmlformats.org/officeDocument/2006/relationships/hyperlink" Target="https://code.alsuper.com/Infraestructura/idp/-/commit/0ef1424" TargetMode="External"/><Relationship Id="rId278" Type="http://schemas.openxmlformats.org/officeDocument/2006/relationships/hyperlink" Target="https://code.alsuper.com/Infraestructura/idp/-/commit/c53969a" TargetMode="External"/><Relationship Id="rId399" Type="http://schemas.openxmlformats.org/officeDocument/2006/relationships/hyperlink" Target="mailto:luis.hernandez@alsuper.com" TargetMode="External"/><Relationship Id="rId156" Type="http://schemas.openxmlformats.org/officeDocument/2006/relationships/hyperlink" Target="mailto:luis.hernandez@alsuper.com" TargetMode="External"/><Relationship Id="rId277" Type="http://schemas.openxmlformats.org/officeDocument/2006/relationships/hyperlink" Target="mailto:luis.hernandez@alsuper.com" TargetMode="External"/><Relationship Id="rId398" Type="http://schemas.openxmlformats.org/officeDocument/2006/relationships/hyperlink" Target="https://code.alsuper.com/Infraestructura/idp/-/commit/0559c5d" TargetMode="External"/><Relationship Id="rId155" Type="http://schemas.openxmlformats.org/officeDocument/2006/relationships/hyperlink" Target="https://code.alsuper.com/Infraestructura/idp/-/commit/68e0c40" TargetMode="External"/><Relationship Id="rId276" Type="http://schemas.openxmlformats.org/officeDocument/2006/relationships/hyperlink" Target="https://code.alsuper.com/Infraestructura/idp/-/commit/9f47ef8" TargetMode="External"/><Relationship Id="rId397" Type="http://schemas.openxmlformats.org/officeDocument/2006/relationships/hyperlink" Target="mailto:luis.hernandez@alsuper.com" TargetMode="External"/><Relationship Id="rId40" Type="http://schemas.openxmlformats.org/officeDocument/2006/relationships/hyperlink" Target="mailto:luis.hernandez@alsuper.com" TargetMode="External"/><Relationship Id="rId42" Type="http://schemas.openxmlformats.org/officeDocument/2006/relationships/hyperlink" Target="mailto:fernando.lara@alsuper.com" TargetMode="External"/><Relationship Id="rId41" Type="http://schemas.openxmlformats.org/officeDocument/2006/relationships/hyperlink" Target="mailto:luis.hernandez@alsuper.com" TargetMode="External"/><Relationship Id="rId44" Type="http://schemas.openxmlformats.org/officeDocument/2006/relationships/hyperlink" Target="mailto:fernando.lara@alsuper.com" TargetMode="External"/><Relationship Id="rId43" Type="http://schemas.openxmlformats.org/officeDocument/2006/relationships/hyperlink" Target="mailto:fernando.lara@alsuper.com" TargetMode="External"/><Relationship Id="rId46" Type="http://schemas.openxmlformats.org/officeDocument/2006/relationships/hyperlink" Target="mailto:luis.hernandez@alsuper.com" TargetMode="External"/><Relationship Id="rId45" Type="http://schemas.openxmlformats.org/officeDocument/2006/relationships/hyperlink" Target="mailto:fernando.lara@alsuper.com" TargetMode="External"/><Relationship Id="rId509" Type="http://schemas.openxmlformats.org/officeDocument/2006/relationships/hyperlink" Target="mailto:luis.hernandez@alsuper.com" TargetMode="External"/><Relationship Id="rId508" Type="http://schemas.openxmlformats.org/officeDocument/2006/relationships/hyperlink" Target="mailto:luis.hernandez@alsuper.com" TargetMode="External"/><Relationship Id="rId503" Type="http://schemas.openxmlformats.org/officeDocument/2006/relationships/hyperlink" Target="mailto:luis.hernandez@alsuper.com" TargetMode="External"/><Relationship Id="rId502" Type="http://schemas.openxmlformats.org/officeDocument/2006/relationships/hyperlink" Target="https://code.alsuper.com/Infraestructura/idp/-/commit/06ea5b5" TargetMode="External"/><Relationship Id="rId501" Type="http://schemas.openxmlformats.org/officeDocument/2006/relationships/hyperlink" Target="mailto:luis.hernandez@alsuper.com" TargetMode="External"/><Relationship Id="rId500" Type="http://schemas.openxmlformats.org/officeDocument/2006/relationships/hyperlink" Target="mailto:luis.hernandez@alsuper.com" TargetMode="External"/><Relationship Id="rId507" Type="http://schemas.openxmlformats.org/officeDocument/2006/relationships/hyperlink" Target="http://guia_migracion_cuenta_aws.md/" TargetMode="External"/><Relationship Id="rId506" Type="http://schemas.openxmlformats.org/officeDocument/2006/relationships/hyperlink" Target="mailto:luis.hernandez@alsuper.com" TargetMode="External"/><Relationship Id="rId505" Type="http://schemas.openxmlformats.org/officeDocument/2006/relationships/hyperlink" Target="https://code.alsuper.com/Infraestructura/idp/-/commit/9830bfb" TargetMode="External"/><Relationship Id="rId504" Type="http://schemas.openxmlformats.org/officeDocument/2006/relationships/hyperlink" Target="mailto:luis.hernandez@alsuper.com" TargetMode="External"/><Relationship Id="rId48" Type="http://schemas.openxmlformats.org/officeDocument/2006/relationships/hyperlink" Target="mailto:luis.hernandez@alsuper.com" TargetMode="External"/><Relationship Id="rId47" Type="http://schemas.openxmlformats.org/officeDocument/2006/relationships/hyperlink" Target="https://code.alsuper.com/Infraestructura/idp/-/commit/8e1267e" TargetMode="External"/><Relationship Id="rId49" Type="http://schemas.openxmlformats.org/officeDocument/2006/relationships/hyperlink" Target="https://code.alsuper.com/Infraestructura/idp/-/commit/0332823" TargetMode="External"/><Relationship Id="rId31" Type="http://schemas.openxmlformats.org/officeDocument/2006/relationships/hyperlink" Target="mailto:marco.fuentes@alsuper.com" TargetMode="External"/><Relationship Id="rId30" Type="http://schemas.openxmlformats.org/officeDocument/2006/relationships/hyperlink" Target="https://docs.google.com/document/u/0/d/1tZ-zfDa11IiSTolkgtmS2puRJHRrT3QDn-_HX3pplR8/edit" TargetMode="External"/><Relationship Id="rId33" Type="http://schemas.openxmlformats.org/officeDocument/2006/relationships/hyperlink" Target="mailto:marco.fuentes@alsuper.com" TargetMode="External"/><Relationship Id="rId32" Type="http://schemas.openxmlformats.org/officeDocument/2006/relationships/hyperlink" Target="https://docs.google.com/document/u/0/d/1igYmHhecNGLcicBR_wwHtP7hB3VGsfDRD8FAacF5G_M/edit" TargetMode="External"/><Relationship Id="rId35" Type="http://schemas.openxmlformats.org/officeDocument/2006/relationships/hyperlink" Target="mailto:marco.fuentes@alsuper.com" TargetMode="External"/><Relationship Id="rId34" Type="http://schemas.openxmlformats.org/officeDocument/2006/relationships/hyperlink" Target="https://docs.google.com/document/u/0/d/14spqWAh1Tp3fk5eQRezZseJClEcifUHJ3ptU7yg4p3k/edit" TargetMode="External"/><Relationship Id="rId37" Type="http://schemas.openxmlformats.org/officeDocument/2006/relationships/hyperlink" Target="mailto:fernando.lara@alsuper.com" TargetMode="External"/><Relationship Id="rId36" Type="http://schemas.openxmlformats.org/officeDocument/2006/relationships/hyperlink" Target="https://docs.google.com/document/u/0/d/1RFlDesHm7WDyprVVDGy2Xt4RHG_xspkWM4L-L0FtPnM/edit" TargetMode="External"/><Relationship Id="rId39" Type="http://schemas.openxmlformats.org/officeDocument/2006/relationships/hyperlink" Target="mailto:luis.hernandez@alsuper.com" TargetMode="External"/><Relationship Id="rId38" Type="http://schemas.openxmlformats.org/officeDocument/2006/relationships/hyperlink" Target="mailto:luis.hernandez@alsuper.com" TargetMode="External"/><Relationship Id="rId20" Type="http://schemas.openxmlformats.org/officeDocument/2006/relationships/hyperlink" Target="mailto:luis.hernandez@alsuper.com" TargetMode="External"/><Relationship Id="rId22" Type="http://schemas.openxmlformats.org/officeDocument/2006/relationships/hyperlink" Target="mailto:luis.hernandez@alsuper.com" TargetMode="External"/><Relationship Id="rId21" Type="http://schemas.openxmlformats.org/officeDocument/2006/relationships/hyperlink" Target="mailto:luis.hernandez@alsuper.com" TargetMode="External"/><Relationship Id="rId24" Type="http://schemas.openxmlformats.org/officeDocument/2006/relationships/hyperlink" Target="mailto:juan.ruiz@alsuper.com" TargetMode="External"/><Relationship Id="rId23" Type="http://schemas.openxmlformats.org/officeDocument/2006/relationships/hyperlink" Target="mailto:luis.hernandez@alsuper.com" TargetMode="External"/><Relationship Id="rId409" Type="http://schemas.openxmlformats.org/officeDocument/2006/relationships/hyperlink" Target="mailto:luis.hernandez@alsuper.com" TargetMode="External"/><Relationship Id="rId404" Type="http://schemas.openxmlformats.org/officeDocument/2006/relationships/hyperlink" Target="mailto:luis.hernandez@alsuper.com" TargetMode="External"/><Relationship Id="rId403" Type="http://schemas.openxmlformats.org/officeDocument/2006/relationships/hyperlink" Target="http://modelos_vision.md" TargetMode="External"/><Relationship Id="rId402" Type="http://schemas.openxmlformats.org/officeDocument/2006/relationships/hyperlink" Target="mailto:luis.hernandez@alsuper.com" TargetMode="External"/><Relationship Id="rId401" Type="http://schemas.openxmlformats.org/officeDocument/2006/relationships/hyperlink" Target="mailto:luis.hernandez@alsuper.com" TargetMode="External"/><Relationship Id="rId408" Type="http://schemas.openxmlformats.org/officeDocument/2006/relationships/hyperlink" Target="https://code.alsuper.com/Infraestructura/idp/-/commit/19f6187" TargetMode="External"/><Relationship Id="rId407" Type="http://schemas.openxmlformats.org/officeDocument/2006/relationships/hyperlink" Target="mailto:luis.hernandez@alsuper.com" TargetMode="External"/><Relationship Id="rId406" Type="http://schemas.openxmlformats.org/officeDocument/2006/relationships/hyperlink" Target="https://code.alsuper.com/Infraestructura/idp/-/commit/bb6e98e" TargetMode="External"/><Relationship Id="rId405" Type="http://schemas.openxmlformats.org/officeDocument/2006/relationships/hyperlink" Target="mailto:luis.hernandez@alsuper.com" TargetMode="External"/><Relationship Id="rId26" Type="http://schemas.openxmlformats.org/officeDocument/2006/relationships/hyperlink" Target="mailto:luis.hernandez@alsuper.com" TargetMode="External"/><Relationship Id="rId25" Type="http://schemas.openxmlformats.org/officeDocument/2006/relationships/hyperlink" Target="mailto:luis.hernandez@alsuper.com" TargetMode="External"/><Relationship Id="rId28" Type="http://schemas.openxmlformats.org/officeDocument/2006/relationships/hyperlink" Target="mailto:luis.hernandez@alsuper.com" TargetMode="External"/><Relationship Id="rId27" Type="http://schemas.openxmlformats.org/officeDocument/2006/relationships/hyperlink" Target="mailto:fernando.lara@alsuper.com" TargetMode="External"/><Relationship Id="rId400" Type="http://schemas.openxmlformats.org/officeDocument/2006/relationships/hyperlink" Target="https://code.alsuper.com/Infraestructura/idp/-/commit/b036626" TargetMode="External"/><Relationship Id="rId29" Type="http://schemas.openxmlformats.org/officeDocument/2006/relationships/hyperlink" Target="mailto:marco.fuentes@alsuper.com" TargetMode="External"/><Relationship Id="rId11" Type="http://schemas.openxmlformats.org/officeDocument/2006/relationships/hyperlink" Target="mailto:luis.hernandez@alsuper.com" TargetMode="External"/><Relationship Id="rId10" Type="http://schemas.openxmlformats.org/officeDocument/2006/relationships/hyperlink" Target="mailto:luis.hernandez@alsuper.com" TargetMode="External"/><Relationship Id="rId13" Type="http://schemas.openxmlformats.org/officeDocument/2006/relationships/hyperlink" Target="mailto:luis.hernandez@alsuper.com" TargetMode="External"/><Relationship Id="rId12" Type="http://schemas.openxmlformats.org/officeDocument/2006/relationships/hyperlink" Target="mailto:luis.hernandez@alsuper.com" TargetMode="External"/><Relationship Id="rId512" Type="http://schemas.openxmlformats.org/officeDocument/2006/relationships/table" Target="../tables/table3.xml"/><Relationship Id="rId15" Type="http://schemas.openxmlformats.org/officeDocument/2006/relationships/hyperlink" Target="mailto:marco.fuentes@alsuper.com" TargetMode="External"/><Relationship Id="rId14" Type="http://schemas.openxmlformats.org/officeDocument/2006/relationships/hyperlink" Target="mailto:luis.hernandez@alsuper.com" TargetMode="External"/><Relationship Id="rId17" Type="http://schemas.openxmlformats.org/officeDocument/2006/relationships/hyperlink" Target="mailto:juan.ruiz@alsuper.com" TargetMode="External"/><Relationship Id="rId16" Type="http://schemas.openxmlformats.org/officeDocument/2006/relationships/hyperlink" Target="mailto:luis.hernandez@alsuper.com" TargetMode="External"/><Relationship Id="rId19" Type="http://schemas.openxmlformats.org/officeDocument/2006/relationships/hyperlink" Target="mailto:luis.hernandez@alsuper.com" TargetMode="External"/><Relationship Id="rId510" Type="http://schemas.openxmlformats.org/officeDocument/2006/relationships/drawing" Target="../drawings/drawing4.xml"/><Relationship Id="rId18" Type="http://schemas.openxmlformats.org/officeDocument/2006/relationships/hyperlink" Target="mailto:fernando.lara@alsuper.com" TargetMode="External"/><Relationship Id="rId84" Type="http://schemas.openxmlformats.org/officeDocument/2006/relationships/hyperlink" Target="mailto:luis.hernandez@alsuper.com" TargetMode="External"/><Relationship Id="rId83" Type="http://schemas.openxmlformats.org/officeDocument/2006/relationships/hyperlink" Target="https://code.alsuper.com/Infraestructura/idp/-/commit/a24d535" TargetMode="External"/><Relationship Id="rId86" Type="http://schemas.openxmlformats.org/officeDocument/2006/relationships/hyperlink" Target="mailto:luis.hernandez@alsuper.com" TargetMode="External"/><Relationship Id="rId85" Type="http://schemas.openxmlformats.org/officeDocument/2006/relationships/hyperlink" Target="https://code.alsuper.com/Infraestructura/idp/-/commit/7554218" TargetMode="External"/><Relationship Id="rId88" Type="http://schemas.openxmlformats.org/officeDocument/2006/relationships/hyperlink" Target="mailto:luis.hernandez@alsuper.com" TargetMode="External"/><Relationship Id="rId87" Type="http://schemas.openxmlformats.org/officeDocument/2006/relationships/hyperlink" Target="https://code.alsuper.com/Infraestructura/idp/-/commit/c076cb7" TargetMode="External"/><Relationship Id="rId89" Type="http://schemas.openxmlformats.org/officeDocument/2006/relationships/hyperlink" Target="https://code.alsuper.com/Infraestructura/idp/-/commit/18b7c1a" TargetMode="External"/><Relationship Id="rId80" Type="http://schemas.openxmlformats.org/officeDocument/2006/relationships/hyperlink" Target="mailto:luis.hernandez@alsuper.com" TargetMode="External"/><Relationship Id="rId82" Type="http://schemas.openxmlformats.org/officeDocument/2006/relationships/hyperlink" Target="mailto:luis.hernandez@alsuper.com" TargetMode="External"/><Relationship Id="rId81" Type="http://schemas.openxmlformats.org/officeDocument/2006/relationships/hyperlink" Target="https://code.alsuper.com/Infraestructura/idp/-/commit/7f51af9" TargetMode="External"/><Relationship Id="rId73" Type="http://schemas.openxmlformats.org/officeDocument/2006/relationships/hyperlink" Target="https://code.alsuper.com/Infraestructura/idp/-/commit/0dd611c" TargetMode="External"/><Relationship Id="rId72" Type="http://schemas.openxmlformats.org/officeDocument/2006/relationships/hyperlink" Target="mailto:luis.hernandez@alsuper.com" TargetMode="External"/><Relationship Id="rId75" Type="http://schemas.openxmlformats.org/officeDocument/2006/relationships/hyperlink" Target="https://code.alsuper.com/Infraestructura/idp/-/commit/c861cad" TargetMode="External"/><Relationship Id="rId74" Type="http://schemas.openxmlformats.org/officeDocument/2006/relationships/hyperlink" Target="mailto:luis.hernandez@alsuper.com" TargetMode="External"/><Relationship Id="rId77" Type="http://schemas.openxmlformats.org/officeDocument/2006/relationships/hyperlink" Target="https://code.alsuper.com/Infraestructura/idp/-/commit/7f51af9" TargetMode="External"/><Relationship Id="rId76" Type="http://schemas.openxmlformats.org/officeDocument/2006/relationships/hyperlink" Target="mailto:luis.hernandez@alsuper.com" TargetMode="External"/><Relationship Id="rId79" Type="http://schemas.openxmlformats.org/officeDocument/2006/relationships/hyperlink" Target="https://code.alsuper.com/Infraestructura/idp/-/commit/b87f5dc" TargetMode="External"/><Relationship Id="rId78" Type="http://schemas.openxmlformats.org/officeDocument/2006/relationships/hyperlink" Target="mailto:luis.hernandez@alsuper.com" TargetMode="External"/><Relationship Id="rId71" Type="http://schemas.openxmlformats.org/officeDocument/2006/relationships/hyperlink" Target="https://code.alsuper.com/Infraestructura/idp/-/commit/cefb171" TargetMode="External"/><Relationship Id="rId70" Type="http://schemas.openxmlformats.org/officeDocument/2006/relationships/hyperlink" Target="mailto:luis.hernandez@alsuper.com" TargetMode="External"/><Relationship Id="rId62" Type="http://schemas.openxmlformats.org/officeDocument/2006/relationships/hyperlink" Target="mailto:luis.hernandez@alsuper.com" TargetMode="External"/><Relationship Id="rId61" Type="http://schemas.openxmlformats.org/officeDocument/2006/relationships/hyperlink" Target="https://code.alsuper.com/Infraestructura/idp/-/commit/02e0c2b" TargetMode="External"/><Relationship Id="rId64" Type="http://schemas.openxmlformats.org/officeDocument/2006/relationships/hyperlink" Target="mailto:luis.hernandez@alsuper.com" TargetMode="External"/><Relationship Id="rId63" Type="http://schemas.openxmlformats.org/officeDocument/2006/relationships/hyperlink" Target="https://code.alsuper.com/Infraestructura/idp/-/commit/5f579e9" TargetMode="External"/><Relationship Id="rId66" Type="http://schemas.openxmlformats.org/officeDocument/2006/relationships/hyperlink" Target="mailto:luis.hernandez@alsuper.com" TargetMode="External"/><Relationship Id="rId65" Type="http://schemas.openxmlformats.org/officeDocument/2006/relationships/hyperlink" Target="https://code.alsuper.com/Infraestructura/idp/-/commit/b426f6b" TargetMode="External"/><Relationship Id="rId68" Type="http://schemas.openxmlformats.org/officeDocument/2006/relationships/hyperlink" Target="mailto:luis.hernandez@alsuper.com" TargetMode="External"/><Relationship Id="rId67" Type="http://schemas.openxmlformats.org/officeDocument/2006/relationships/hyperlink" Target="https://code.alsuper.com/Infraestructura/idp/-/commit/d84329b" TargetMode="External"/><Relationship Id="rId60" Type="http://schemas.openxmlformats.org/officeDocument/2006/relationships/hyperlink" Target="mailto:luis.hernandez@alsuper.com" TargetMode="External"/><Relationship Id="rId69" Type="http://schemas.openxmlformats.org/officeDocument/2006/relationships/hyperlink" Target="https://code.alsuper.com/Infraestructura/idp/-/commit/4f24a9c" TargetMode="External"/><Relationship Id="rId51" Type="http://schemas.openxmlformats.org/officeDocument/2006/relationships/hyperlink" Target="https://code.alsuper.com/Infraestructura/idp/-/commit/171c58a" TargetMode="External"/><Relationship Id="rId50" Type="http://schemas.openxmlformats.org/officeDocument/2006/relationships/hyperlink" Target="mailto:luis.hernandez@alsuper.com" TargetMode="External"/><Relationship Id="rId53" Type="http://schemas.openxmlformats.org/officeDocument/2006/relationships/hyperlink" Target="https://code.alsuper.com/Infraestructura/idp/-/commit/0f80d74" TargetMode="External"/><Relationship Id="rId52" Type="http://schemas.openxmlformats.org/officeDocument/2006/relationships/hyperlink" Target="mailto:luis.hernandez@alsuper.com" TargetMode="External"/><Relationship Id="rId55" Type="http://schemas.openxmlformats.org/officeDocument/2006/relationships/hyperlink" Target="https://code.alsuper.com/Infraestructura/idp/-/commit/8e1267e" TargetMode="External"/><Relationship Id="rId54" Type="http://schemas.openxmlformats.org/officeDocument/2006/relationships/hyperlink" Target="mailto:luis.hernandez@alsuper.com" TargetMode="External"/><Relationship Id="rId57" Type="http://schemas.openxmlformats.org/officeDocument/2006/relationships/hyperlink" Target="https://code.alsuper.com/Infraestructura/idp/-/commit/4e4a734" TargetMode="External"/><Relationship Id="rId56" Type="http://schemas.openxmlformats.org/officeDocument/2006/relationships/hyperlink" Target="mailto:luis.hernandez@alsuper.com" TargetMode="External"/><Relationship Id="rId59" Type="http://schemas.openxmlformats.org/officeDocument/2006/relationships/hyperlink" Target="https://code.alsuper.com/Infraestructura/idp/-/commit/4b9e35e" TargetMode="External"/><Relationship Id="rId58" Type="http://schemas.openxmlformats.org/officeDocument/2006/relationships/hyperlink" Target="mailto:luis.hernandez@alsuper.com" TargetMode="External"/><Relationship Id="rId107" Type="http://schemas.openxmlformats.org/officeDocument/2006/relationships/hyperlink" Target="https://code.alsuper.com/Infraestructura/idp/-/commit/c076cb7" TargetMode="External"/><Relationship Id="rId228" Type="http://schemas.openxmlformats.org/officeDocument/2006/relationships/hyperlink" Target="mailto:luis.hernandez@alsuper.com" TargetMode="External"/><Relationship Id="rId349" Type="http://schemas.openxmlformats.org/officeDocument/2006/relationships/hyperlink" Target="https://code.alsuper.com/Infraestructura/idp/-/commit/6555bf2" TargetMode="External"/><Relationship Id="rId106" Type="http://schemas.openxmlformats.org/officeDocument/2006/relationships/hyperlink" Target="mailto:luis.hernandez@alsuper.com" TargetMode="External"/><Relationship Id="rId227" Type="http://schemas.openxmlformats.org/officeDocument/2006/relationships/hyperlink" Target="https://code.alsuper.com/Infraestructura/idp/-/commit/64ecde5" TargetMode="External"/><Relationship Id="rId348" Type="http://schemas.openxmlformats.org/officeDocument/2006/relationships/hyperlink" Target="mailto:luis.hernandez@alsuper.com" TargetMode="External"/><Relationship Id="rId469" Type="http://schemas.openxmlformats.org/officeDocument/2006/relationships/hyperlink" Target="mailto:luis.hernandez@alsuper.com" TargetMode="External"/><Relationship Id="rId105" Type="http://schemas.openxmlformats.org/officeDocument/2006/relationships/hyperlink" Target="https://code.alsuper.com/Infraestructura/idp/-/commit/c076cb7" TargetMode="External"/><Relationship Id="rId226" Type="http://schemas.openxmlformats.org/officeDocument/2006/relationships/hyperlink" Target="mailto:luis.hernandez@alsuper.com" TargetMode="External"/><Relationship Id="rId347" Type="http://schemas.openxmlformats.org/officeDocument/2006/relationships/hyperlink" Target="https://code.alsuper.com/Infraestructura/idp/-/commit/6555bf2" TargetMode="External"/><Relationship Id="rId468" Type="http://schemas.openxmlformats.org/officeDocument/2006/relationships/hyperlink" Target="https://code.alsuper.com/Infraestructura/idp/-/commit/0e418ee" TargetMode="External"/><Relationship Id="rId104" Type="http://schemas.openxmlformats.org/officeDocument/2006/relationships/hyperlink" Target="mailto:luis.hernandez@alsuper.com" TargetMode="External"/><Relationship Id="rId225" Type="http://schemas.openxmlformats.org/officeDocument/2006/relationships/hyperlink" Target="https://code.alsuper.com/Infraestructura/idp/-/commit/cde3624" TargetMode="External"/><Relationship Id="rId346" Type="http://schemas.openxmlformats.org/officeDocument/2006/relationships/hyperlink" Target="mailto:luis.hernandez@alsuper.com" TargetMode="External"/><Relationship Id="rId467" Type="http://schemas.openxmlformats.org/officeDocument/2006/relationships/hyperlink" Target="mailto:luis.hernandez@alsuper.com" TargetMode="External"/><Relationship Id="rId109" Type="http://schemas.openxmlformats.org/officeDocument/2006/relationships/hyperlink" Target="https://code.alsuper.com/Infraestructura/idp/-/commit/c076cb7" TargetMode="External"/><Relationship Id="rId108" Type="http://schemas.openxmlformats.org/officeDocument/2006/relationships/hyperlink" Target="mailto:luis.hernandez@alsuper.com" TargetMode="External"/><Relationship Id="rId229" Type="http://schemas.openxmlformats.org/officeDocument/2006/relationships/hyperlink" Target="https://code.alsuper.com/Infraestructura/idp/-/commit/d6d3c55" TargetMode="External"/><Relationship Id="rId220" Type="http://schemas.openxmlformats.org/officeDocument/2006/relationships/hyperlink" Target="mailto:luis.hernandez@alsuper.com" TargetMode="External"/><Relationship Id="rId341" Type="http://schemas.openxmlformats.org/officeDocument/2006/relationships/hyperlink" Target="https://code.alsuper.com/Infraestructura/idp/-/commit/6555bf2" TargetMode="External"/><Relationship Id="rId462" Type="http://schemas.openxmlformats.org/officeDocument/2006/relationships/hyperlink" Target="mailto:luis.hernandez@alsuper.com" TargetMode="External"/><Relationship Id="rId340" Type="http://schemas.openxmlformats.org/officeDocument/2006/relationships/hyperlink" Target="mailto:luis.hernandez@alsuper.com" TargetMode="External"/><Relationship Id="rId461" Type="http://schemas.openxmlformats.org/officeDocument/2006/relationships/hyperlink" Target="mailto:luis.hernandez@alsuper.com" TargetMode="External"/><Relationship Id="rId460" Type="http://schemas.openxmlformats.org/officeDocument/2006/relationships/hyperlink" Target="mailto:luis.hernandez@alsuper.com" TargetMode="External"/><Relationship Id="rId103" Type="http://schemas.openxmlformats.org/officeDocument/2006/relationships/hyperlink" Target="https://code.alsuper.com/Infraestructura/idp/-/commit/c076cb7" TargetMode="External"/><Relationship Id="rId224" Type="http://schemas.openxmlformats.org/officeDocument/2006/relationships/hyperlink" Target="mailto:luis.hernandez@alsuper.com" TargetMode="External"/><Relationship Id="rId345" Type="http://schemas.openxmlformats.org/officeDocument/2006/relationships/hyperlink" Target="https://code.alsuper.com/Infraestructura/idp/-/commit/6555bf2" TargetMode="External"/><Relationship Id="rId466" Type="http://schemas.openxmlformats.org/officeDocument/2006/relationships/hyperlink" Target="https://code.alsuper.com/Infraestructura/idp/-/commit/5729480" TargetMode="External"/><Relationship Id="rId102" Type="http://schemas.openxmlformats.org/officeDocument/2006/relationships/hyperlink" Target="mailto:luis.hernandez@alsuper.com" TargetMode="External"/><Relationship Id="rId223" Type="http://schemas.openxmlformats.org/officeDocument/2006/relationships/hyperlink" Target="https://code.alsuper.com/Infraestructura/idp/-/commit/335bb6c" TargetMode="External"/><Relationship Id="rId344" Type="http://schemas.openxmlformats.org/officeDocument/2006/relationships/hyperlink" Target="mailto:luis.hernandez@alsuper.com" TargetMode="External"/><Relationship Id="rId465" Type="http://schemas.openxmlformats.org/officeDocument/2006/relationships/hyperlink" Target="mailto:luis.hernandez@alsuper.com" TargetMode="External"/><Relationship Id="rId101" Type="http://schemas.openxmlformats.org/officeDocument/2006/relationships/hyperlink" Target="https://code.alsuper.com/Infraestructura/idp/-/commit/ca190aa" TargetMode="External"/><Relationship Id="rId222" Type="http://schemas.openxmlformats.org/officeDocument/2006/relationships/hyperlink" Target="mailto:luis.hernandez@alsuper.com" TargetMode="External"/><Relationship Id="rId343" Type="http://schemas.openxmlformats.org/officeDocument/2006/relationships/hyperlink" Target="https://code.alsuper.com/Infraestructura/idp/-/commit/6555bf2" TargetMode="External"/><Relationship Id="rId464" Type="http://schemas.openxmlformats.org/officeDocument/2006/relationships/hyperlink" Target="https://code.alsuper.com/Infraestructura/idp/-/commit/e18e799" TargetMode="External"/><Relationship Id="rId100" Type="http://schemas.openxmlformats.org/officeDocument/2006/relationships/hyperlink" Target="mailto:luis.hernandez@alsuper.com" TargetMode="External"/><Relationship Id="rId221" Type="http://schemas.openxmlformats.org/officeDocument/2006/relationships/hyperlink" Target="https://code.alsuper.com/Infraestructura/idp/-/commit/f5e0049" TargetMode="External"/><Relationship Id="rId342" Type="http://schemas.openxmlformats.org/officeDocument/2006/relationships/hyperlink" Target="mailto:luis.hernandez@alsuper.com" TargetMode="External"/><Relationship Id="rId463" Type="http://schemas.openxmlformats.org/officeDocument/2006/relationships/hyperlink" Target="mailto:luis.hernandez@alsuper.com" TargetMode="External"/><Relationship Id="rId217" Type="http://schemas.openxmlformats.org/officeDocument/2006/relationships/hyperlink" Target="https://code.alsuper.com/Infraestructura/idp/-/commit/a9e40a3" TargetMode="External"/><Relationship Id="rId338" Type="http://schemas.openxmlformats.org/officeDocument/2006/relationships/hyperlink" Target="mailto:luis.hernandez@alsuper.com" TargetMode="External"/><Relationship Id="rId459" Type="http://schemas.openxmlformats.org/officeDocument/2006/relationships/hyperlink" Target="https://code.alsuper.com/Infraestructura/idp-sdk-node/-/commit/796584d" TargetMode="External"/><Relationship Id="rId216" Type="http://schemas.openxmlformats.org/officeDocument/2006/relationships/hyperlink" Target="mailto:luis.hernandez@alsuper.com" TargetMode="External"/><Relationship Id="rId337" Type="http://schemas.openxmlformats.org/officeDocument/2006/relationships/hyperlink" Target="https://code.alsuper.com/Infraestructura/idp/-/commit/6555bf2" TargetMode="External"/><Relationship Id="rId458" Type="http://schemas.openxmlformats.org/officeDocument/2006/relationships/hyperlink" Target="mailto:luis.hernandez@alsuper.com" TargetMode="External"/><Relationship Id="rId215" Type="http://schemas.openxmlformats.org/officeDocument/2006/relationships/hyperlink" Target="https://code.alsuper.com/Infraestructura/idp/-/commit/939a6c9" TargetMode="External"/><Relationship Id="rId336" Type="http://schemas.openxmlformats.org/officeDocument/2006/relationships/hyperlink" Target="mailto:luis.hernandez@alsuper.com" TargetMode="External"/><Relationship Id="rId457" Type="http://schemas.openxmlformats.org/officeDocument/2006/relationships/hyperlink" Target="https://code.alsuper.com/Infraestructura/idp/-/commit/2caba5e" TargetMode="External"/><Relationship Id="rId214" Type="http://schemas.openxmlformats.org/officeDocument/2006/relationships/hyperlink" Target="mailto:luis.hernandez@alsuper.com" TargetMode="External"/><Relationship Id="rId335" Type="http://schemas.openxmlformats.org/officeDocument/2006/relationships/hyperlink" Target="https://code.alsuper.com/Infraestructura/idp/-/commit/6049d4d" TargetMode="External"/><Relationship Id="rId456" Type="http://schemas.openxmlformats.org/officeDocument/2006/relationships/hyperlink" Target="mailto:luis.hernandez@alsuper.com" TargetMode="External"/><Relationship Id="rId219" Type="http://schemas.openxmlformats.org/officeDocument/2006/relationships/hyperlink" Target="https://code.alsuper.com/Infraestructura/idp/-/commit/f5e0049" TargetMode="External"/><Relationship Id="rId218" Type="http://schemas.openxmlformats.org/officeDocument/2006/relationships/hyperlink" Target="mailto:luis.hernandez@alsuper.com" TargetMode="External"/><Relationship Id="rId339" Type="http://schemas.openxmlformats.org/officeDocument/2006/relationships/hyperlink" Target="https://code.alsuper.com/Infraestructura/idp/-/commit/6555bf2" TargetMode="External"/><Relationship Id="rId330" Type="http://schemas.openxmlformats.org/officeDocument/2006/relationships/hyperlink" Target="mailto:luis.hernandez@alsuper.com" TargetMode="External"/><Relationship Id="rId451" Type="http://schemas.openxmlformats.org/officeDocument/2006/relationships/hyperlink" Target="https://code.alsuper.com/Infraestructura/idp/-/commit/6719b0b" TargetMode="External"/><Relationship Id="rId450" Type="http://schemas.openxmlformats.org/officeDocument/2006/relationships/hyperlink" Target="mailto:luis.hernandez@alsuper.com" TargetMode="External"/><Relationship Id="rId213" Type="http://schemas.openxmlformats.org/officeDocument/2006/relationships/hyperlink" Target="https://code.alsuper.com/Infraestructura/idp/-/commit/eca7a59" TargetMode="External"/><Relationship Id="rId334" Type="http://schemas.openxmlformats.org/officeDocument/2006/relationships/hyperlink" Target="mailto:luis.hernandez@alsuper.com" TargetMode="External"/><Relationship Id="rId455" Type="http://schemas.openxmlformats.org/officeDocument/2006/relationships/hyperlink" Target="https://code.alsuper.com/Infraestructura/idp/-/commit/8140540" TargetMode="External"/><Relationship Id="rId212" Type="http://schemas.openxmlformats.org/officeDocument/2006/relationships/hyperlink" Target="mailto:luis.hernandez@alsuper.com" TargetMode="External"/><Relationship Id="rId333" Type="http://schemas.openxmlformats.org/officeDocument/2006/relationships/hyperlink" Target="https://code.alsuper.com/Infraestructura/idp/-/commit/8e91e37" TargetMode="External"/><Relationship Id="rId454" Type="http://schemas.openxmlformats.org/officeDocument/2006/relationships/hyperlink" Target="mailto:luis.hernandez@alsuper.com" TargetMode="External"/><Relationship Id="rId211" Type="http://schemas.openxmlformats.org/officeDocument/2006/relationships/hyperlink" Target="https://code.alsuper.com/Infraestructura/idp/-/commit/f5e0049" TargetMode="External"/><Relationship Id="rId332" Type="http://schemas.openxmlformats.org/officeDocument/2006/relationships/hyperlink" Target="mailto:luis.hernandez@alsuper.com" TargetMode="External"/><Relationship Id="rId453" Type="http://schemas.openxmlformats.org/officeDocument/2006/relationships/hyperlink" Target="https://code.alsuper.com/Infraestructura/idp/-/commit/d36dacb" TargetMode="External"/><Relationship Id="rId210" Type="http://schemas.openxmlformats.org/officeDocument/2006/relationships/hyperlink" Target="mailto:luis.hernandez@alsuper.com" TargetMode="External"/><Relationship Id="rId331" Type="http://schemas.openxmlformats.org/officeDocument/2006/relationships/hyperlink" Target="https://code.alsuper.com/Infraestructura/idp/-/commit/456a943" TargetMode="External"/><Relationship Id="rId452" Type="http://schemas.openxmlformats.org/officeDocument/2006/relationships/hyperlink" Target="mailto:luis.hernandez@alsuper.com" TargetMode="External"/><Relationship Id="rId370" Type="http://schemas.openxmlformats.org/officeDocument/2006/relationships/hyperlink" Target="https://code.alsuper.com/Infraestructura/idp/-/commit/f63b187" TargetMode="External"/><Relationship Id="rId491" Type="http://schemas.openxmlformats.org/officeDocument/2006/relationships/hyperlink" Target="mailto:luis.hernandez@alsuper.com" TargetMode="External"/><Relationship Id="rId490" Type="http://schemas.openxmlformats.org/officeDocument/2006/relationships/hyperlink" Target="mailto:luis.hernandez@alsuper.com" TargetMode="External"/><Relationship Id="rId129" Type="http://schemas.openxmlformats.org/officeDocument/2006/relationships/hyperlink" Target="https://code.alsuper.com/Infraestructura/idp/-/commit/c076cb7" TargetMode="External"/><Relationship Id="rId128" Type="http://schemas.openxmlformats.org/officeDocument/2006/relationships/hyperlink" Target="mailto:luis.hernandez@alsuper.com" TargetMode="External"/><Relationship Id="rId249" Type="http://schemas.openxmlformats.org/officeDocument/2006/relationships/hyperlink" Target="mailto:luis.hernandez@alsuper.com" TargetMode="External"/><Relationship Id="rId127" Type="http://schemas.openxmlformats.org/officeDocument/2006/relationships/hyperlink" Target="https://code.alsuper.com/Infraestructura/idp/-/commit/c076cb7" TargetMode="External"/><Relationship Id="rId248" Type="http://schemas.openxmlformats.org/officeDocument/2006/relationships/hyperlink" Target="https://code.alsuper.com/Infraestructura/idp/-/commit/8809385" TargetMode="External"/><Relationship Id="rId369" Type="http://schemas.openxmlformats.org/officeDocument/2006/relationships/hyperlink" Target="mailto:luis.hernandez@alsuper.com" TargetMode="External"/><Relationship Id="rId126" Type="http://schemas.openxmlformats.org/officeDocument/2006/relationships/hyperlink" Target="mailto:luis.hernandez@alsuper.com" TargetMode="External"/><Relationship Id="rId247" Type="http://schemas.openxmlformats.org/officeDocument/2006/relationships/hyperlink" Target="mailto:luis.hernandez@alsuper.com" TargetMode="External"/><Relationship Id="rId368" Type="http://schemas.openxmlformats.org/officeDocument/2006/relationships/hyperlink" Target="https://code.alsuper.com/Infraestructura/idp/-/commit/5af6d38" TargetMode="External"/><Relationship Id="rId489" Type="http://schemas.openxmlformats.org/officeDocument/2006/relationships/hyperlink" Target="http://continuidad_migracion.md" TargetMode="External"/><Relationship Id="rId121" Type="http://schemas.openxmlformats.org/officeDocument/2006/relationships/hyperlink" Target="https://code.alsuper.com/Infraestructura/idp/-/commit/c076cb7" TargetMode="External"/><Relationship Id="rId242" Type="http://schemas.openxmlformats.org/officeDocument/2006/relationships/hyperlink" Target="mailto:luis.hernandez@alsuper.com" TargetMode="External"/><Relationship Id="rId363" Type="http://schemas.openxmlformats.org/officeDocument/2006/relationships/hyperlink" Target="mailto:luis.hernandez@alsuper.com" TargetMode="External"/><Relationship Id="rId484" Type="http://schemas.openxmlformats.org/officeDocument/2006/relationships/hyperlink" Target="mailto:luis.hernandez@alsuper.com" TargetMode="External"/><Relationship Id="rId120" Type="http://schemas.openxmlformats.org/officeDocument/2006/relationships/hyperlink" Target="mailto:luis.hernandez@alsuper.com" TargetMode="External"/><Relationship Id="rId241" Type="http://schemas.openxmlformats.org/officeDocument/2006/relationships/hyperlink" Target="https://code.alsuper.com/Infraestructura/idp/-/commit/9b5b013" TargetMode="External"/><Relationship Id="rId362" Type="http://schemas.openxmlformats.org/officeDocument/2006/relationships/hyperlink" Target="https://code.alsuper.com/Infraestructura/idp/-/commit/01fe374" TargetMode="External"/><Relationship Id="rId483" Type="http://schemas.openxmlformats.org/officeDocument/2006/relationships/hyperlink" Target="https://code.alsuper.com/Infraestructura/idp/-/commit/7f53b0d" TargetMode="External"/><Relationship Id="rId240" Type="http://schemas.openxmlformats.org/officeDocument/2006/relationships/hyperlink" Target="mailto:luis.hernandez@alsuper.com" TargetMode="External"/><Relationship Id="rId361" Type="http://schemas.openxmlformats.org/officeDocument/2006/relationships/hyperlink" Target="mailto:luis.hernandez@alsuper.com" TargetMode="External"/><Relationship Id="rId482" Type="http://schemas.openxmlformats.org/officeDocument/2006/relationships/hyperlink" Target="mailto:luis.hernandez@alsuper.com" TargetMode="External"/><Relationship Id="rId360" Type="http://schemas.openxmlformats.org/officeDocument/2006/relationships/hyperlink" Target="https://code.alsuper.com/Infraestructura/idp/-/commit/5af6d38" TargetMode="External"/><Relationship Id="rId481" Type="http://schemas.openxmlformats.org/officeDocument/2006/relationships/hyperlink" Target="https://code.alsuper.com/Infraestructura/idp/-/commit/01dd142" TargetMode="External"/><Relationship Id="rId125" Type="http://schemas.openxmlformats.org/officeDocument/2006/relationships/hyperlink" Target="https://code.alsuper.com/Infraestructura/idp/-/commit/c076cb7" TargetMode="External"/><Relationship Id="rId246" Type="http://schemas.openxmlformats.org/officeDocument/2006/relationships/hyperlink" Target="https://code.alsuper.com/Infraestructura/idp/-/commit/c0f5963" TargetMode="External"/><Relationship Id="rId367" Type="http://schemas.openxmlformats.org/officeDocument/2006/relationships/hyperlink" Target="mailto:luis.hernandez@alsuper.com" TargetMode="External"/><Relationship Id="rId488" Type="http://schemas.openxmlformats.org/officeDocument/2006/relationships/hyperlink" Target="mailto:luis.hernandez@alsuper.com" TargetMode="External"/><Relationship Id="rId124" Type="http://schemas.openxmlformats.org/officeDocument/2006/relationships/hyperlink" Target="mailto:luis.hernandez@alsuper.com" TargetMode="External"/><Relationship Id="rId245" Type="http://schemas.openxmlformats.org/officeDocument/2006/relationships/hyperlink" Target="mailto:luis.hernandez@alsuper.com" TargetMode="External"/><Relationship Id="rId366" Type="http://schemas.openxmlformats.org/officeDocument/2006/relationships/hyperlink" Target="https://code.alsuper.com/Infraestructura/idp/-/commit/ce10f3c" TargetMode="External"/><Relationship Id="rId487" Type="http://schemas.openxmlformats.org/officeDocument/2006/relationships/hyperlink" Target="mailto:luis.hernandez@alsuper.com" TargetMode="External"/><Relationship Id="rId123" Type="http://schemas.openxmlformats.org/officeDocument/2006/relationships/hyperlink" Target="https://code.alsuper.com/Infraestructura/idp/-/commit/c076cb7" TargetMode="External"/><Relationship Id="rId244" Type="http://schemas.openxmlformats.org/officeDocument/2006/relationships/hyperlink" Target="mailto:luis.hernandez@alsuper.com" TargetMode="External"/><Relationship Id="rId365" Type="http://schemas.openxmlformats.org/officeDocument/2006/relationships/hyperlink" Target="mailto:luis.hernandez@alsuper.com" TargetMode="External"/><Relationship Id="rId486" Type="http://schemas.openxmlformats.org/officeDocument/2006/relationships/hyperlink" Target="mailto:luis.hernandez@alsuper.com" TargetMode="External"/><Relationship Id="rId122" Type="http://schemas.openxmlformats.org/officeDocument/2006/relationships/hyperlink" Target="mailto:luis.hernandez@alsuper.com" TargetMode="External"/><Relationship Id="rId243" Type="http://schemas.openxmlformats.org/officeDocument/2006/relationships/hyperlink" Target="https://code.alsuper.com/Infraestructura/idp/-/commit/5660b81" TargetMode="External"/><Relationship Id="rId364" Type="http://schemas.openxmlformats.org/officeDocument/2006/relationships/hyperlink" Target="https://code.alsuper.com/Infraestructura/idp/-/commit/1a9215c" TargetMode="External"/><Relationship Id="rId485" Type="http://schemas.openxmlformats.org/officeDocument/2006/relationships/hyperlink" Target="https://code.alsuper.com/Infraestructura/idp/-/commit/9f87727" TargetMode="External"/><Relationship Id="rId95" Type="http://schemas.openxmlformats.org/officeDocument/2006/relationships/hyperlink" Target="https://code.alsuper.com/Infraestructura/idp/-/commit/0f7ad01" TargetMode="External"/><Relationship Id="rId94" Type="http://schemas.openxmlformats.org/officeDocument/2006/relationships/hyperlink" Target="mailto:luis.hernandez@alsuper.com" TargetMode="External"/><Relationship Id="rId97" Type="http://schemas.openxmlformats.org/officeDocument/2006/relationships/hyperlink" Target="https://code.alsuper.com/Infraestructura/idp/-/commit/a7c9107" TargetMode="External"/><Relationship Id="rId96" Type="http://schemas.openxmlformats.org/officeDocument/2006/relationships/hyperlink" Target="mailto:luis.hernandez@alsuper.com" TargetMode="External"/><Relationship Id="rId99" Type="http://schemas.openxmlformats.org/officeDocument/2006/relationships/hyperlink" Target="https://code.alsuper.com/Infraestructura/idp/-/commit/8263ad1" TargetMode="External"/><Relationship Id="rId480" Type="http://schemas.openxmlformats.org/officeDocument/2006/relationships/hyperlink" Target="mailto:luis.hernandez@alsuper.com" TargetMode="External"/><Relationship Id="rId98" Type="http://schemas.openxmlformats.org/officeDocument/2006/relationships/hyperlink" Target="mailto:luis.hernandez@alsuper.com" TargetMode="External"/><Relationship Id="rId91" Type="http://schemas.openxmlformats.org/officeDocument/2006/relationships/hyperlink" Target="https://code.alsuper.com/Infraestructura/idp/-/commit/a7a5c9e" TargetMode="External"/><Relationship Id="rId90" Type="http://schemas.openxmlformats.org/officeDocument/2006/relationships/hyperlink" Target="mailto:luis.hernandez@alsuper.com" TargetMode="External"/><Relationship Id="rId93" Type="http://schemas.openxmlformats.org/officeDocument/2006/relationships/hyperlink" Target="https://code.alsuper.com/Infraestructura/idp/-/commit/6047d2e" TargetMode="External"/><Relationship Id="rId92" Type="http://schemas.openxmlformats.org/officeDocument/2006/relationships/hyperlink" Target="mailto:luis.hernandez@alsuper.com" TargetMode="External"/><Relationship Id="rId118" Type="http://schemas.openxmlformats.org/officeDocument/2006/relationships/hyperlink" Target="mailto:luis.hernandez@alsuper.com" TargetMode="External"/><Relationship Id="rId239" Type="http://schemas.openxmlformats.org/officeDocument/2006/relationships/hyperlink" Target="https://code.alsuper.com/Infraestructura/idp/-/commit/5660b81" TargetMode="External"/><Relationship Id="rId117" Type="http://schemas.openxmlformats.org/officeDocument/2006/relationships/hyperlink" Target="https://code.alsuper.com/Infraestructura/idp/-/commit/c076cb7" TargetMode="External"/><Relationship Id="rId238" Type="http://schemas.openxmlformats.org/officeDocument/2006/relationships/hyperlink" Target="mailto:luis.hernandez@alsuper.com" TargetMode="External"/><Relationship Id="rId359" Type="http://schemas.openxmlformats.org/officeDocument/2006/relationships/hyperlink" Target="mailto:luis.hernandez@alsuper.com" TargetMode="External"/><Relationship Id="rId116" Type="http://schemas.openxmlformats.org/officeDocument/2006/relationships/hyperlink" Target="mailto:luis.hernandez@alsuper.com" TargetMode="External"/><Relationship Id="rId237" Type="http://schemas.openxmlformats.org/officeDocument/2006/relationships/hyperlink" Target="https://code.alsuper.com/Infraestructura/idp/-/commit/c3a79e5" TargetMode="External"/><Relationship Id="rId358" Type="http://schemas.openxmlformats.org/officeDocument/2006/relationships/hyperlink" Target="https://code.alsuper.com/Infraestructura/idp/-/commit/f63b187" TargetMode="External"/><Relationship Id="rId479" Type="http://schemas.openxmlformats.org/officeDocument/2006/relationships/hyperlink" Target="https://code.alsuper.com/Infraestructura/idp/-/commit/b7dfd00" TargetMode="External"/><Relationship Id="rId115" Type="http://schemas.openxmlformats.org/officeDocument/2006/relationships/hyperlink" Target="https://code.alsuper.com/Infraestructura/idp/-/commit/c076cb7" TargetMode="External"/><Relationship Id="rId236" Type="http://schemas.openxmlformats.org/officeDocument/2006/relationships/hyperlink" Target="mailto:luis.hernandez@alsuper.com" TargetMode="External"/><Relationship Id="rId357" Type="http://schemas.openxmlformats.org/officeDocument/2006/relationships/hyperlink" Target="mailto:luis.hernandez@alsuper.com" TargetMode="External"/><Relationship Id="rId478" Type="http://schemas.openxmlformats.org/officeDocument/2006/relationships/hyperlink" Target="mailto:luis.hernandez@alsuper.com" TargetMode="External"/><Relationship Id="rId119" Type="http://schemas.openxmlformats.org/officeDocument/2006/relationships/hyperlink" Target="https://code.alsuper.com/Infraestructura/idp/-/commit/c076cb7" TargetMode="External"/><Relationship Id="rId110" Type="http://schemas.openxmlformats.org/officeDocument/2006/relationships/hyperlink" Target="mailto:luis.hernandez@alsuper.com" TargetMode="External"/><Relationship Id="rId231" Type="http://schemas.openxmlformats.org/officeDocument/2006/relationships/hyperlink" Target="https://code.alsuper.com/Infraestructura/idp/-/commit/d6d3c55" TargetMode="External"/><Relationship Id="rId352" Type="http://schemas.openxmlformats.org/officeDocument/2006/relationships/hyperlink" Target="mailto:luis.hernandez@alsuper.com" TargetMode="External"/><Relationship Id="rId473" Type="http://schemas.openxmlformats.org/officeDocument/2006/relationships/hyperlink" Target="https://code.alsuper.com/Infraestructura/idp/-/commit/39f4b3e" TargetMode="External"/><Relationship Id="rId230" Type="http://schemas.openxmlformats.org/officeDocument/2006/relationships/hyperlink" Target="mailto:luis.hernandez@alsuper.com" TargetMode="External"/><Relationship Id="rId351" Type="http://schemas.openxmlformats.org/officeDocument/2006/relationships/hyperlink" Target="https://code.alsuper.com/Infraestructura/idp/-/commit/6555bf2" TargetMode="External"/><Relationship Id="rId472" Type="http://schemas.openxmlformats.org/officeDocument/2006/relationships/hyperlink" Target="mailto:luis.hernandez@alsuper.com" TargetMode="External"/><Relationship Id="rId350" Type="http://schemas.openxmlformats.org/officeDocument/2006/relationships/hyperlink" Target="mailto:luis.hernandez@alsuper.com" TargetMode="External"/><Relationship Id="rId471" Type="http://schemas.openxmlformats.org/officeDocument/2006/relationships/hyperlink" Target="https://code.alsuper.com/Infraestructura/idp/-/commit/ee00e20" TargetMode="External"/><Relationship Id="rId470" Type="http://schemas.openxmlformats.org/officeDocument/2006/relationships/hyperlink" Target="mailto:luis.hernandez@alsuper.com" TargetMode="External"/><Relationship Id="rId114" Type="http://schemas.openxmlformats.org/officeDocument/2006/relationships/hyperlink" Target="mailto:luis.hernandez@alsuper.com" TargetMode="External"/><Relationship Id="rId235" Type="http://schemas.openxmlformats.org/officeDocument/2006/relationships/hyperlink" Target="https://code.alsuper.com/Infraestructura/idp/-/commit/5610fd0" TargetMode="External"/><Relationship Id="rId356" Type="http://schemas.openxmlformats.org/officeDocument/2006/relationships/hyperlink" Target="mailto:luis.hernandez@alsuper.com" TargetMode="External"/><Relationship Id="rId477" Type="http://schemas.openxmlformats.org/officeDocument/2006/relationships/hyperlink" Target="https://code.alsuper.com/Infraestructura/idp/-/commit/3c9f7de" TargetMode="External"/><Relationship Id="rId113" Type="http://schemas.openxmlformats.org/officeDocument/2006/relationships/hyperlink" Target="https://code.alsuper.com/Infraestructura/idp/-/commit/c076cb7" TargetMode="External"/><Relationship Id="rId234" Type="http://schemas.openxmlformats.org/officeDocument/2006/relationships/hyperlink" Target="mailto:luis.hernandez@alsuper.com" TargetMode="External"/><Relationship Id="rId355" Type="http://schemas.openxmlformats.org/officeDocument/2006/relationships/hyperlink" Target="https://code.alsuper.com/Infraestructura/idp/-/commit/6555bf2" TargetMode="External"/><Relationship Id="rId476" Type="http://schemas.openxmlformats.org/officeDocument/2006/relationships/hyperlink" Target="mailto:luis.hernandez@alsuper.com" TargetMode="External"/><Relationship Id="rId112" Type="http://schemas.openxmlformats.org/officeDocument/2006/relationships/hyperlink" Target="mailto:luis.hernandez@alsuper.com" TargetMode="External"/><Relationship Id="rId233" Type="http://schemas.openxmlformats.org/officeDocument/2006/relationships/hyperlink" Target="https://code.alsuper.com/Infraestructura/idp/-/commit/c3a4930" TargetMode="External"/><Relationship Id="rId354" Type="http://schemas.openxmlformats.org/officeDocument/2006/relationships/hyperlink" Target="mailto:luis.hernandez@alsuper.com" TargetMode="External"/><Relationship Id="rId475" Type="http://schemas.openxmlformats.org/officeDocument/2006/relationships/hyperlink" Target="https://code.alsuper.com/Infraestructura/idp/-/commit/5516821" TargetMode="External"/><Relationship Id="rId111" Type="http://schemas.openxmlformats.org/officeDocument/2006/relationships/hyperlink" Target="https://code.alsuper.com/Infraestructura/idp/-/commit/c076cb7" TargetMode="External"/><Relationship Id="rId232" Type="http://schemas.openxmlformats.org/officeDocument/2006/relationships/hyperlink" Target="mailto:luis.hernandez@alsuper.com" TargetMode="External"/><Relationship Id="rId353" Type="http://schemas.openxmlformats.org/officeDocument/2006/relationships/hyperlink" Target="https://code.alsuper.com/Infraestructura/idp/-/commit/6555bf2" TargetMode="External"/><Relationship Id="rId474" Type="http://schemas.openxmlformats.org/officeDocument/2006/relationships/hyperlink" Target="mailto:luis.hernandez@alsuper.com" TargetMode="External"/><Relationship Id="rId305" Type="http://schemas.openxmlformats.org/officeDocument/2006/relationships/hyperlink" Target="https://code.alsuper.com/Infraestructura/idp/-/commit/4d92e9c" TargetMode="External"/><Relationship Id="rId426" Type="http://schemas.openxmlformats.org/officeDocument/2006/relationships/hyperlink" Target="https://code.alsuper.com/Infraestructura/idp/-/commit/b900fcd" TargetMode="External"/><Relationship Id="rId304" Type="http://schemas.openxmlformats.org/officeDocument/2006/relationships/hyperlink" Target="mailto:luis.hernandez@alsuper.com" TargetMode="External"/><Relationship Id="rId425" Type="http://schemas.openxmlformats.org/officeDocument/2006/relationships/hyperlink" Target="mailto:luis.hernandez@alsuper.com" TargetMode="External"/><Relationship Id="rId303" Type="http://schemas.openxmlformats.org/officeDocument/2006/relationships/hyperlink" Target="https://code.alsuper.com/Infraestructura/idp/-/commit/e955b97" TargetMode="External"/><Relationship Id="rId424" Type="http://schemas.openxmlformats.org/officeDocument/2006/relationships/hyperlink" Target="https://code.alsuper.com/Infraestructura/idp/-/commit/b900fcd" TargetMode="External"/><Relationship Id="rId302" Type="http://schemas.openxmlformats.org/officeDocument/2006/relationships/hyperlink" Target="mailto:luis.hernandez@alsuper.com" TargetMode="External"/><Relationship Id="rId423" Type="http://schemas.openxmlformats.org/officeDocument/2006/relationships/hyperlink" Target="mailto:luis.hernandez@alsuper.com" TargetMode="External"/><Relationship Id="rId309" Type="http://schemas.openxmlformats.org/officeDocument/2006/relationships/hyperlink" Target="https://code.alsuper.com/Infraestructura/idp/-/commit/99d6872" TargetMode="External"/><Relationship Id="rId308" Type="http://schemas.openxmlformats.org/officeDocument/2006/relationships/hyperlink" Target="mailto:luis.hernandez@alsuper.com" TargetMode="External"/><Relationship Id="rId429" Type="http://schemas.openxmlformats.org/officeDocument/2006/relationships/hyperlink" Target="mailto:luis.hernandez@alsuper.com" TargetMode="External"/><Relationship Id="rId307" Type="http://schemas.openxmlformats.org/officeDocument/2006/relationships/hyperlink" Target="https://code.alsuper.com/Infraestructura/idp/-/commit/bc8acbf" TargetMode="External"/><Relationship Id="rId428" Type="http://schemas.openxmlformats.org/officeDocument/2006/relationships/hyperlink" Target="mailto:luis.hernandez@alsuper.com" TargetMode="External"/><Relationship Id="rId306" Type="http://schemas.openxmlformats.org/officeDocument/2006/relationships/hyperlink" Target="mailto:luis.hernandez@alsuper.com" TargetMode="External"/><Relationship Id="rId427" Type="http://schemas.openxmlformats.org/officeDocument/2006/relationships/hyperlink" Target="mailto:luis.hernandez@alsuper.com" TargetMode="External"/><Relationship Id="rId301" Type="http://schemas.openxmlformats.org/officeDocument/2006/relationships/hyperlink" Target="http://api_resumen.md" TargetMode="External"/><Relationship Id="rId422" Type="http://schemas.openxmlformats.org/officeDocument/2006/relationships/hyperlink" Target="https://code.alsuper.com/Infraestructura/idp/-/commit/b900fcd" TargetMode="External"/><Relationship Id="rId300" Type="http://schemas.openxmlformats.org/officeDocument/2006/relationships/hyperlink" Target="mailto:luis.hernandez@alsuper.com" TargetMode="External"/><Relationship Id="rId421" Type="http://schemas.openxmlformats.org/officeDocument/2006/relationships/hyperlink" Target="mailto:luis.hernandez@alsuper.com" TargetMode="External"/><Relationship Id="rId420" Type="http://schemas.openxmlformats.org/officeDocument/2006/relationships/hyperlink" Target="https://code.alsuper.com/Infraestructura/idp/-/commit/b900fcd" TargetMode="External"/><Relationship Id="rId415" Type="http://schemas.openxmlformats.org/officeDocument/2006/relationships/hyperlink" Target="mailto:luis.hernandez@alsuper.com" TargetMode="External"/><Relationship Id="rId414" Type="http://schemas.openxmlformats.org/officeDocument/2006/relationships/hyperlink" Target="https://code.alsuper.com/Infraestructura/idp/-/commit/1dc3400" TargetMode="External"/><Relationship Id="rId413" Type="http://schemas.openxmlformats.org/officeDocument/2006/relationships/hyperlink" Target="mailto:luis.hernandez@alsuper.com" TargetMode="External"/><Relationship Id="rId412" Type="http://schemas.openxmlformats.org/officeDocument/2006/relationships/hyperlink" Target="https://code.alsuper.com/Infraestructura/idp/-/commit/a7076fa" TargetMode="External"/><Relationship Id="rId419" Type="http://schemas.openxmlformats.org/officeDocument/2006/relationships/hyperlink" Target="mailto:luis.hernandez@alsuper.com" TargetMode="External"/><Relationship Id="rId418" Type="http://schemas.openxmlformats.org/officeDocument/2006/relationships/hyperlink" Target="https://code.alsuper.com/Infraestructura/idp/-/commit/b900fcd" TargetMode="External"/><Relationship Id="rId417" Type="http://schemas.openxmlformats.org/officeDocument/2006/relationships/hyperlink" Target="mailto:luis.hernandez@alsuper.com" TargetMode="External"/><Relationship Id="rId416" Type="http://schemas.openxmlformats.org/officeDocument/2006/relationships/hyperlink" Target="https://code.alsuper.com/Infraestructura/idp/-/commit/b900fcd" TargetMode="External"/><Relationship Id="rId411" Type="http://schemas.openxmlformats.org/officeDocument/2006/relationships/hyperlink" Target="mailto:luis.hernandez@alsuper.com" TargetMode="External"/><Relationship Id="rId410" Type="http://schemas.openxmlformats.org/officeDocument/2006/relationships/hyperlink" Target="https://code.alsuper.com/Infraestructura/idp/-/commit/b900fcd" TargetMode="External"/><Relationship Id="rId206" Type="http://schemas.openxmlformats.org/officeDocument/2006/relationships/hyperlink" Target="mailto:luis.hernandez@alsuper.com" TargetMode="External"/><Relationship Id="rId327" Type="http://schemas.openxmlformats.org/officeDocument/2006/relationships/hyperlink" Target="mailto:luis.hernandez@alsuper.com" TargetMode="External"/><Relationship Id="rId448" Type="http://schemas.openxmlformats.org/officeDocument/2006/relationships/hyperlink" Target="mailto:luis.hernandez@alsuper.com" TargetMode="External"/><Relationship Id="rId205" Type="http://schemas.openxmlformats.org/officeDocument/2006/relationships/hyperlink" Target="https://code.alsuper.com/Infraestructura/idp/-/commit/a9e40a3" TargetMode="External"/><Relationship Id="rId326" Type="http://schemas.openxmlformats.org/officeDocument/2006/relationships/hyperlink" Target="https://code.alsuper.com/Infraestructura/idp/-/commit/93e0794" TargetMode="External"/><Relationship Id="rId447" Type="http://schemas.openxmlformats.org/officeDocument/2006/relationships/hyperlink" Target="mailto:luis.hernandez@alsuper.com" TargetMode="External"/><Relationship Id="rId204" Type="http://schemas.openxmlformats.org/officeDocument/2006/relationships/hyperlink" Target="mailto:luis.hernandez@alsuper.com" TargetMode="External"/><Relationship Id="rId325" Type="http://schemas.openxmlformats.org/officeDocument/2006/relationships/hyperlink" Target="mailto:luis.hernandez@alsuper.com" TargetMode="External"/><Relationship Id="rId446" Type="http://schemas.openxmlformats.org/officeDocument/2006/relationships/hyperlink" Target="https://code.alsuper.com/Infraestructura/idp-sdk-node/-/commit/e3069c1" TargetMode="External"/><Relationship Id="rId203" Type="http://schemas.openxmlformats.org/officeDocument/2006/relationships/hyperlink" Target="https://code.alsuper.com/Infraestructura/idp/-/commit/96c6a2f" TargetMode="External"/><Relationship Id="rId324" Type="http://schemas.openxmlformats.org/officeDocument/2006/relationships/hyperlink" Target="https://code.alsuper.com/Infraestructura/idp/-/commit/558cf45" TargetMode="External"/><Relationship Id="rId445" Type="http://schemas.openxmlformats.org/officeDocument/2006/relationships/hyperlink" Target="mailto:luis.hernandez@alsuper.com" TargetMode="External"/><Relationship Id="rId209" Type="http://schemas.openxmlformats.org/officeDocument/2006/relationships/hyperlink" Target="https://code.alsuper.com/Infraestructura/idp/-/commit/c3f5171" TargetMode="External"/><Relationship Id="rId208" Type="http://schemas.openxmlformats.org/officeDocument/2006/relationships/hyperlink" Target="mailto:luis.hernandez@alsuper.com" TargetMode="External"/><Relationship Id="rId329" Type="http://schemas.openxmlformats.org/officeDocument/2006/relationships/hyperlink" Target="https://code.alsuper.com/Infraestructura/idp/-/commit/146984b" TargetMode="External"/><Relationship Id="rId207" Type="http://schemas.openxmlformats.org/officeDocument/2006/relationships/hyperlink" Target="https://code.alsuper.com/Infraestructura/idp/-/commit/40edd36" TargetMode="External"/><Relationship Id="rId328" Type="http://schemas.openxmlformats.org/officeDocument/2006/relationships/hyperlink" Target="mailto:luis.hernandez@alsuper.com" TargetMode="External"/><Relationship Id="rId449" Type="http://schemas.openxmlformats.org/officeDocument/2006/relationships/hyperlink" Target="http://latencia.md" TargetMode="External"/><Relationship Id="rId440" Type="http://schemas.openxmlformats.org/officeDocument/2006/relationships/hyperlink" Target="mailto:luis.hernandez@alsuper.com" TargetMode="External"/><Relationship Id="rId202" Type="http://schemas.openxmlformats.org/officeDocument/2006/relationships/hyperlink" Target="mailto:luis.hernandez@alsuper.com" TargetMode="External"/><Relationship Id="rId323" Type="http://schemas.openxmlformats.org/officeDocument/2006/relationships/hyperlink" Target="mailto:luis.hernandez@alsuper.com" TargetMode="External"/><Relationship Id="rId444" Type="http://schemas.openxmlformats.org/officeDocument/2006/relationships/hyperlink" Target="https://code.alsuper.com/Infraestructura/idp-sdk-node/-/commit/11a771a" TargetMode="External"/><Relationship Id="rId201" Type="http://schemas.openxmlformats.org/officeDocument/2006/relationships/hyperlink" Target="https://code.alsuper.com/Infraestructura/idp/-/commit/96c6a2f" TargetMode="External"/><Relationship Id="rId322" Type="http://schemas.openxmlformats.org/officeDocument/2006/relationships/hyperlink" Target="https://code.alsuper.com/Infraestructura/idp/-/commit/f6842ef" TargetMode="External"/><Relationship Id="rId443" Type="http://schemas.openxmlformats.org/officeDocument/2006/relationships/hyperlink" Target="mailto:luis.hernandez@alsuper.com" TargetMode="External"/><Relationship Id="rId200" Type="http://schemas.openxmlformats.org/officeDocument/2006/relationships/hyperlink" Target="mailto:luis.hernandez@alsuper.com" TargetMode="External"/><Relationship Id="rId321" Type="http://schemas.openxmlformats.org/officeDocument/2006/relationships/hyperlink" Target="mailto:luis.hernandez@alsuper.com" TargetMode="External"/><Relationship Id="rId442" Type="http://schemas.openxmlformats.org/officeDocument/2006/relationships/hyperlink" Target="mailto:luis.hernandez@alsuper.com" TargetMode="External"/><Relationship Id="rId320" Type="http://schemas.openxmlformats.org/officeDocument/2006/relationships/hyperlink" Target="mailto:luis.hernandez@alsuper.com" TargetMode="External"/><Relationship Id="rId441" Type="http://schemas.openxmlformats.org/officeDocument/2006/relationships/hyperlink" Target="mailto:luis.hernandez@alsuper.com" TargetMode="External"/><Relationship Id="rId316" Type="http://schemas.openxmlformats.org/officeDocument/2006/relationships/hyperlink" Target="mailto:luis.hernandez@alsuper.com" TargetMode="External"/><Relationship Id="rId437" Type="http://schemas.openxmlformats.org/officeDocument/2006/relationships/hyperlink" Target="mailto:luis.hernandez@alsuper.com" TargetMode="External"/><Relationship Id="rId315" Type="http://schemas.openxmlformats.org/officeDocument/2006/relationships/hyperlink" Target="https://code.alsuper.com/Infraestructura/idp/-/commit/7e2942e" TargetMode="External"/><Relationship Id="rId436" Type="http://schemas.openxmlformats.org/officeDocument/2006/relationships/hyperlink" Target="http://autenticidad_y_referencias.md" TargetMode="External"/><Relationship Id="rId314" Type="http://schemas.openxmlformats.org/officeDocument/2006/relationships/hyperlink" Target="mailto:luis.hernandez@alsuper.com" TargetMode="External"/><Relationship Id="rId435" Type="http://schemas.openxmlformats.org/officeDocument/2006/relationships/hyperlink" Target="mailto:luis.hernandez@alsuper.com" TargetMode="External"/><Relationship Id="rId313" Type="http://schemas.openxmlformats.org/officeDocument/2006/relationships/hyperlink" Target="https://code.alsuper.com/Infraestructura/idp/-/commit/5b58614" TargetMode="External"/><Relationship Id="rId434" Type="http://schemas.openxmlformats.org/officeDocument/2006/relationships/hyperlink" Target="https://code.alsuper.com/Infraestructura/idp/-/commit/4b22c53" TargetMode="External"/><Relationship Id="rId319" Type="http://schemas.openxmlformats.org/officeDocument/2006/relationships/hyperlink" Target="https://code.alsuper.com/Infraestructura/idp/-/commit/bf384c8" TargetMode="External"/><Relationship Id="rId318" Type="http://schemas.openxmlformats.org/officeDocument/2006/relationships/hyperlink" Target="mailto:luis.hernandez@alsuper.com" TargetMode="External"/><Relationship Id="rId439" Type="http://schemas.openxmlformats.org/officeDocument/2006/relationships/hyperlink" Target="mailto:luis.hernandez@alsuper.com" TargetMode="External"/><Relationship Id="rId317" Type="http://schemas.openxmlformats.org/officeDocument/2006/relationships/hyperlink" Target="https://code.alsuper.com/Infraestructura/idp/-/commit/a1d4a17" TargetMode="External"/><Relationship Id="rId438" Type="http://schemas.openxmlformats.org/officeDocument/2006/relationships/hyperlink" Target="http://carta_nom35.md" TargetMode="External"/><Relationship Id="rId312" Type="http://schemas.openxmlformats.org/officeDocument/2006/relationships/hyperlink" Target="mailto:luis.hernandez@alsuper.com" TargetMode="External"/><Relationship Id="rId433" Type="http://schemas.openxmlformats.org/officeDocument/2006/relationships/hyperlink" Target="mailto:luis.hernandez@alsuper.com" TargetMode="External"/><Relationship Id="rId311" Type="http://schemas.openxmlformats.org/officeDocument/2006/relationships/hyperlink" Target="https://code.alsuper.com/Infraestructura/idp/-/commit/c2ba884" TargetMode="External"/><Relationship Id="rId432" Type="http://schemas.openxmlformats.org/officeDocument/2006/relationships/hyperlink" Target="https://code.alsuper.com/Infraestructura/idp/-/commit/4104f96" TargetMode="External"/><Relationship Id="rId310" Type="http://schemas.openxmlformats.org/officeDocument/2006/relationships/hyperlink" Target="mailto:luis.hernandez@alsuper.com" TargetMode="External"/><Relationship Id="rId431" Type="http://schemas.openxmlformats.org/officeDocument/2006/relationships/hyperlink" Target="mailto:luis.hernandez@alsuper.com" TargetMode="External"/><Relationship Id="rId430" Type="http://schemas.openxmlformats.org/officeDocument/2006/relationships/hyperlink" Target="https://code.alsuper.com/Infraestructura/idp/-/commit/eb3ec5b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vga60wpKA7Pv1cbD6_g-qMkX6a0_sPtE" TargetMode="External"/><Relationship Id="rId2" Type="http://schemas.openxmlformats.org/officeDocument/2006/relationships/hyperlink" Target="https://drive.google.com/open?id=1Fv4qtI4PI2zPhudv7msMIaHnrDsHSeP5" TargetMode="External"/><Relationship Id="rId3" Type="http://schemas.openxmlformats.org/officeDocument/2006/relationships/hyperlink" Target="https://docs.google.com/document/u/0/d/1tZ-zfDa11IiSTolkgtmS2puRJHRrT3QDn-_HX3pplR8/edit" TargetMode="External"/><Relationship Id="rId4" Type="http://schemas.openxmlformats.org/officeDocument/2006/relationships/hyperlink" Target="https://docs.google.com/document/u/0/d/1igYmHhecNGLcicBR_wwHtP7hB3VGsfDRD8FAacF5G_M/edit" TargetMode="External"/><Relationship Id="rId5" Type="http://schemas.openxmlformats.org/officeDocument/2006/relationships/hyperlink" Target="https://docs.google.com/document/u/0/d/14spqWAh1Tp3fk5eQRezZseJClEcifUHJ3ptU7yg4p3k/edit" TargetMode="External"/><Relationship Id="rId6" Type="http://schemas.openxmlformats.org/officeDocument/2006/relationships/hyperlink" Target="https://docs.google.com/document/u/0/d/1RFlDesHm7WDyprVVDGy2Xt4RHG_xspkWM4L-L0FtPnM/edit" TargetMode="External"/><Relationship Id="rId7" Type="http://schemas.openxmlformats.org/officeDocument/2006/relationships/hyperlink" Target="https://docs.google.com/spreadsheets/u/0/d/1dTry5YnYGBlDsAWknBDn2K1X0EWJDyeJ1sptvnLqvTk/edit" TargetMode="External"/><Relationship Id="rId8" Type="http://schemas.openxmlformats.org/officeDocument/2006/relationships/drawing" Target="../drawings/drawing5.xml"/><Relationship Id="rId10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63"/>
    <col customWidth="1" min="2" max="2" width="48.38"/>
    <col customWidth="1" min="3" max="3" width="25.88"/>
    <col customWidth="1" min="5" max="5" width="10.5"/>
    <col customWidth="1" min="7" max="7" width="12.75"/>
    <col customWidth="1" min="8" max="8" width="40.0"/>
    <col customWidth="1" min="9" max="9" width="14.5"/>
    <col customWidth="1" min="12" max="12" width="5.63"/>
    <col customWidth="1" min="13" max="55" width="4.88"/>
    <col customWidth="1" min="56" max="56" width="26.0"/>
  </cols>
  <sheetData>
    <row r="1">
      <c r="A1" s="1"/>
      <c r="B1" s="2"/>
      <c r="C1" s="2"/>
      <c r="D1" s="3" t="s">
        <v>0</v>
      </c>
      <c r="E1" s="2"/>
      <c r="F1" s="4"/>
      <c r="G1" s="4"/>
      <c r="H1" s="5"/>
      <c r="I1" s="6"/>
      <c r="J1" s="5"/>
      <c r="K1" s="5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18"/>
    </row>
    <row r="2">
      <c r="A2" s="8" t="s">
        <v>2</v>
      </c>
      <c r="B2" s="8"/>
      <c r="C2" s="8"/>
      <c r="D2" s="8"/>
      <c r="E2" s="8"/>
      <c r="F2" s="8"/>
      <c r="G2" s="8"/>
      <c r="H2" s="8"/>
      <c r="I2" s="8"/>
      <c r="J2" s="9"/>
      <c r="K2" s="9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3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9"/>
    </row>
    <row r="3">
      <c r="A3" s="11" t="s">
        <v>3</v>
      </c>
      <c r="B3" s="13" t="s">
        <v>6</v>
      </c>
      <c r="C3" s="9"/>
      <c r="D3" s="14"/>
      <c r="J3" s="9"/>
      <c r="K3" s="9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9"/>
    </row>
    <row r="4">
      <c r="A4" s="11" t="s">
        <v>12</v>
      </c>
      <c r="B4" s="17">
        <v>46157.0</v>
      </c>
      <c r="C4" s="9"/>
      <c r="D4" s="19"/>
      <c r="E4" s="9"/>
      <c r="F4" s="9"/>
      <c r="G4" s="9"/>
      <c r="H4" s="9"/>
      <c r="I4" s="21"/>
      <c r="J4" s="9"/>
      <c r="K4" s="9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9"/>
    </row>
    <row r="5">
      <c r="A5" s="11" t="s">
        <v>22</v>
      </c>
      <c r="B5" s="24" t="s">
        <v>24</v>
      </c>
      <c r="C5" s="9"/>
      <c r="D5" s="19"/>
      <c r="E5" s="9"/>
      <c r="F5" s="9"/>
      <c r="G5" s="25"/>
      <c r="H5" s="9"/>
      <c r="I5" s="21"/>
      <c r="J5" s="9"/>
      <c r="K5" s="9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9"/>
    </row>
    <row r="6">
      <c r="A6" s="26"/>
      <c r="B6" s="9"/>
      <c r="C6" s="9"/>
      <c r="D6" s="19"/>
      <c r="E6" s="9"/>
      <c r="F6" s="9"/>
      <c r="G6" s="25"/>
      <c r="H6" s="9"/>
      <c r="I6" s="21"/>
      <c r="J6" s="9"/>
      <c r="K6" s="9"/>
      <c r="M6" s="22"/>
      <c r="N6" s="22"/>
      <c r="O6" s="56"/>
      <c r="P6" s="57" t="s">
        <v>58</v>
      </c>
      <c r="Q6" s="58"/>
      <c r="S6" s="59"/>
      <c r="T6" s="57" t="s">
        <v>59</v>
      </c>
      <c r="U6" s="60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22"/>
      <c r="AX6" s="22"/>
      <c r="AY6" s="22"/>
      <c r="AZ6" s="22"/>
      <c r="BA6" s="22"/>
      <c r="BB6" s="22"/>
      <c r="BC6" s="22"/>
      <c r="BD6" s="9"/>
    </row>
    <row r="7">
      <c r="A7" s="26"/>
      <c r="B7" s="26"/>
      <c r="C7" s="26"/>
      <c r="D7" s="26"/>
      <c r="E7" s="26"/>
      <c r="F7" s="26"/>
      <c r="G7" s="26"/>
      <c r="H7" s="28" t="s">
        <v>29</v>
      </c>
      <c r="I7" s="31">
        <f>IFERROR(__xludf.DUMMYFUNCTION("LET(prom_lvl3, IFERROR(AVERAGE(FILTER(I9:I1003, LEN(TRIM(TO_TEXT(A9:A1003))) - LEN(SUBSTITUTE(TRIM(TO_TEXT(A9:A1003)), ""."", """")) = 2)), """"), prom_lvl2, IFERROR(AVERAGE(FILTER(I9:I1003, LEN(TRIM(TO_TEXT(A9:A1003))) - LEN(SUBSTITUTE(TRIM(TO_TEXT(A9:A1"&amp;"003)), ""."", """")) = 1)), 0), IF(ISNUMBER(prom_lvl3), prom_lvl3, prom_lvl2))"),0.529032258064516)</f>
        <v>0.5290322581</v>
      </c>
      <c r="J7" s="32">
        <v>0.26666666666666666</v>
      </c>
      <c r="K7" s="26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26"/>
    </row>
    <row r="8">
      <c r="A8" s="34" t="s">
        <v>34</v>
      </c>
      <c r="B8" s="35" t="s">
        <v>35</v>
      </c>
      <c r="C8" s="35" t="s">
        <v>10</v>
      </c>
      <c r="D8" s="35" t="s">
        <v>36</v>
      </c>
      <c r="E8" s="35" t="s">
        <v>37</v>
      </c>
      <c r="F8" s="35" t="s">
        <v>38</v>
      </c>
      <c r="G8" s="35" t="s">
        <v>39</v>
      </c>
      <c r="H8" s="37" t="s">
        <v>41</v>
      </c>
      <c r="I8" s="38" t="s">
        <v>42</v>
      </c>
      <c r="J8" s="39" t="s">
        <v>43</v>
      </c>
      <c r="K8" s="40" t="s">
        <v>44</v>
      </c>
      <c r="M8" s="65">
        <f>D9</f>
        <v>46156</v>
      </c>
      <c r="N8" s="67">
        <f t="shared" ref="N8:BC8" si="1">M8+7</f>
        <v>46163</v>
      </c>
      <c r="O8" s="67">
        <f t="shared" si="1"/>
        <v>46170</v>
      </c>
      <c r="P8" s="67">
        <f t="shared" si="1"/>
        <v>46177</v>
      </c>
      <c r="Q8" s="67">
        <f t="shared" si="1"/>
        <v>46184</v>
      </c>
      <c r="R8" s="67">
        <f t="shared" si="1"/>
        <v>46191</v>
      </c>
      <c r="S8" s="67">
        <f t="shared" si="1"/>
        <v>46198</v>
      </c>
      <c r="T8" s="67">
        <f t="shared" si="1"/>
        <v>46205</v>
      </c>
      <c r="U8" s="67">
        <f t="shared" si="1"/>
        <v>46212</v>
      </c>
      <c r="V8" s="67">
        <f t="shared" si="1"/>
        <v>46219</v>
      </c>
      <c r="W8" s="67">
        <f t="shared" si="1"/>
        <v>46226</v>
      </c>
      <c r="X8" s="67">
        <f t="shared" si="1"/>
        <v>46233</v>
      </c>
      <c r="Y8" s="67">
        <f t="shared" si="1"/>
        <v>46240</v>
      </c>
      <c r="Z8" s="67">
        <f t="shared" si="1"/>
        <v>46247</v>
      </c>
      <c r="AA8" s="67">
        <f t="shared" si="1"/>
        <v>46254</v>
      </c>
      <c r="AB8" s="67">
        <f t="shared" si="1"/>
        <v>46261</v>
      </c>
      <c r="AC8" s="67">
        <f t="shared" si="1"/>
        <v>46268</v>
      </c>
      <c r="AD8" s="67">
        <f t="shared" si="1"/>
        <v>46275</v>
      </c>
      <c r="AE8" s="67">
        <f t="shared" si="1"/>
        <v>46282</v>
      </c>
      <c r="AF8" s="67">
        <f t="shared" si="1"/>
        <v>46289</v>
      </c>
      <c r="AG8" s="67">
        <f t="shared" si="1"/>
        <v>46296</v>
      </c>
      <c r="AH8" s="67">
        <f t="shared" si="1"/>
        <v>46303</v>
      </c>
      <c r="AI8" s="67">
        <f t="shared" si="1"/>
        <v>46310</v>
      </c>
      <c r="AJ8" s="67">
        <f t="shared" si="1"/>
        <v>46317</v>
      </c>
      <c r="AK8" s="67">
        <f t="shared" si="1"/>
        <v>46324</v>
      </c>
      <c r="AL8" s="67">
        <f t="shared" si="1"/>
        <v>46331</v>
      </c>
      <c r="AM8" s="67">
        <f t="shared" si="1"/>
        <v>46338</v>
      </c>
      <c r="AN8" s="67">
        <f t="shared" si="1"/>
        <v>46345</v>
      </c>
      <c r="AO8" s="67">
        <f t="shared" si="1"/>
        <v>46352</v>
      </c>
      <c r="AP8" s="67">
        <f t="shared" si="1"/>
        <v>46359</v>
      </c>
      <c r="AQ8" s="67">
        <f t="shared" si="1"/>
        <v>46366</v>
      </c>
      <c r="AR8" s="67">
        <f t="shared" si="1"/>
        <v>46373</v>
      </c>
      <c r="AS8" s="67">
        <f t="shared" si="1"/>
        <v>46380</v>
      </c>
      <c r="AT8" s="67">
        <f t="shared" si="1"/>
        <v>46387</v>
      </c>
      <c r="AU8" s="67">
        <f t="shared" si="1"/>
        <v>46394</v>
      </c>
      <c r="AV8" s="67">
        <f t="shared" si="1"/>
        <v>46401</v>
      </c>
      <c r="AW8" s="67">
        <f t="shared" si="1"/>
        <v>46408</v>
      </c>
      <c r="AX8" s="67">
        <f t="shared" si="1"/>
        <v>46415</v>
      </c>
      <c r="AY8" s="67">
        <f t="shared" si="1"/>
        <v>46422</v>
      </c>
      <c r="AZ8" s="67">
        <f t="shared" si="1"/>
        <v>46429</v>
      </c>
      <c r="BA8" s="67">
        <f t="shared" si="1"/>
        <v>46436</v>
      </c>
      <c r="BB8" s="67">
        <f t="shared" si="1"/>
        <v>46443</v>
      </c>
      <c r="BC8" s="72">
        <f t="shared" si="1"/>
        <v>46450</v>
      </c>
      <c r="BD8" s="73"/>
    </row>
    <row r="9">
      <c r="A9" s="46">
        <v>1.0</v>
      </c>
      <c r="B9" s="47" t="s">
        <v>53</v>
      </c>
      <c r="C9" s="49" t="s">
        <v>32</v>
      </c>
      <c r="D9" s="50">
        <v>46156.0</v>
      </c>
      <c r="E9" s="50">
        <v>46252.0</v>
      </c>
      <c r="F9" s="50">
        <v>46157.0</v>
      </c>
      <c r="G9" s="50">
        <v>46262.0</v>
      </c>
      <c r="H9" s="51"/>
      <c r="I9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0)"),1.0)</f>
        <v>1</v>
      </c>
      <c r="J9" s="54">
        <f>IFERROR(__xludf.DUMMYFUNCTION("IF(OR(D9="""", E9=""""), IFERROR(MAX(FILTER(INDIRECT(""E""&amp;(ROW()+1)&amp;"":E1000""), LEFT(INDIRECT(""A""&amp;(ROW()+1)&amp;"":A1000""), LEN(TRIM(TO_TEXT(INDIRECT(""A""&amp;ROW()))))+1) = TRIM(TO_TEXT(INDIRECT(""A""&amp;ROW())))&amp;""."")) - MIN(FILTER(INDIRECT(""D""&amp;(ROW()+1)&amp;"&amp;""":D1000""), LEFT(INDIRECT(""A""&amp;(ROW()+1)&amp;"":A1000""), LEN(TRIM(TO_TEXT(INDIRECT(""A""&amp;ROW()))))+1) = TRIM(TO_TEXT(INDIRECT(""A""&amp;ROW())))&amp;""."")), """"), E9 - D9)"),96.0)</f>
        <v>96</v>
      </c>
      <c r="K9" s="55">
        <f>IFERROR(__xludf.DUMMYFUNCTION("IF(ISNUMBER(F9), IF(ISNUMBER(G9), G9 - F9, TODAY() - F9), IFERROR(IF(COUNT(IFERROR(FILTER(INDIRECT(""F""&amp;(ROW()+1)&amp;"":F1000""), LEFT(INDIRECT(""A""&amp;(ROW()+1)&amp;"":A1000""), LEN(TRIM(TO_TEXT(INDIRECT(""A""&amp;ROW()))))+1) = TRIM(TO_TEXT(INDIRECT(""A""&amp;ROW())))&amp;"&amp;""".""),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COUNT(IFERROR(FILTER(INDI"&amp;"RECT(""D""&amp;(ROW()+1)&amp;"":D1000""),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LEFT(INDIRE"&amp;"CT(""A""&amp;(ROW()+1)&amp;"":A1000""),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LEN(TRIM(TO_TEXT(INDIRE"&amp;"CT(""A""&amp;ROW()))))+1)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TRIM(TO_TEXT(INDIRECT(""A""&amp;RO"&amp;"W())))&amp;"".""), """")))), """"))"),105.0)</f>
        <v>105</v>
      </c>
      <c r="M9" s="77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80"/>
      <c r="BD9" s="54"/>
    </row>
    <row r="10">
      <c r="A10" s="46">
        <v>1.1</v>
      </c>
      <c r="B10" s="47" t="s">
        <v>62</v>
      </c>
      <c r="C10" s="49" t="s">
        <v>32</v>
      </c>
      <c r="D10" s="50">
        <v>46157.0</v>
      </c>
      <c r="E10" s="50">
        <v>46164.0</v>
      </c>
      <c r="F10" s="50">
        <v>46156.0</v>
      </c>
      <c r="G10" s="50">
        <v>46262.0</v>
      </c>
      <c r="H10" s="51"/>
      <c r="I10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0)"),1.0)</f>
        <v>1</v>
      </c>
      <c r="J10" s="54">
        <f>IFERROR(__xludf.DUMMYFUNCTION("IF(OR(D10="""", E10=""""),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E10 - D10)"),7.0)</f>
        <v>7</v>
      </c>
      <c r="K10" s="55">
        <f>IFERROR(__xludf.DUMMYFUNCTION("IF(ISNUMBER(F10), IF(ISNUMBER(G10), G10 - F10, TODAY() - F10),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""""))"),106.0)</f>
        <v>106</v>
      </c>
      <c r="M10" s="77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80"/>
      <c r="BD10" s="54"/>
    </row>
    <row r="11">
      <c r="A11" s="46" t="s">
        <v>73</v>
      </c>
      <c r="B11" s="47" t="s">
        <v>74</v>
      </c>
      <c r="C11" s="49" t="s">
        <v>32</v>
      </c>
      <c r="D11" s="50">
        <v>46157.0</v>
      </c>
      <c r="E11" s="50">
        <v>46157.0</v>
      </c>
      <c r="F11" s="50">
        <v>46157.0</v>
      </c>
      <c r="G11" s="50">
        <v>46157.0</v>
      </c>
      <c r="H11" s="51"/>
      <c r="I11" s="68">
        <v>1.0</v>
      </c>
      <c r="J11" s="54">
        <f>IFERROR(__xludf.DUMMYFUNCTION("IF(OR(D11="""", E11=""""),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E11 - D11)"),0.0)</f>
        <v>0</v>
      </c>
      <c r="K11" s="55">
        <f>IFERROR(__xludf.DUMMYFUNCTION("IF(ISNUMBER(F11), IF(ISNUMBER(G11), G11 - F11, TODAY() - F11),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""""))"),0.0)</f>
        <v>0</v>
      </c>
      <c r="M11" s="77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80"/>
      <c r="BD11" s="54"/>
    </row>
    <row r="12">
      <c r="A12" s="46" t="s">
        <v>79</v>
      </c>
      <c r="B12" s="47" t="s">
        <v>80</v>
      </c>
      <c r="C12" s="49" t="s">
        <v>32</v>
      </c>
      <c r="D12" s="50">
        <v>46156.0</v>
      </c>
      <c r="E12" s="50">
        <v>46167.0</v>
      </c>
      <c r="F12" s="50">
        <v>46156.0</v>
      </c>
      <c r="G12" s="50">
        <v>46167.0</v>
      </c>
      <c r="H12" s="51"/>
      <c r="I12" s="68">
        <v>1.0</v>
      </c>
      <c r="J12" s="54">
        <f>IFERROR(__xludf.DUMMYFUNCTION("IF(OR(D12="""", E12=""""),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E12 - D12)"),11.0)</f>
        <v>11</v>
      </c>
      <c r="K12" s="55">
        <f>IFERROR(__xludf.DUMMYFUNCTION("IF(ISNUMBER(F12), IF(ISNUMBER(G12), G12 - F12, TODAY() - F12),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""""))"),11.0)</f>
        <v>11</v>
      </c>
      <c r="M12" s="77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80"/>
      <c r="BD12" s="54"/>
    </row>
    <row r="13">
      <c r="A13" s="46" t="s">
        <v>86</v>
      </c>
      <c r="B13" s="47" t="s">
        <v>87</v>
      </c>
      <c r="C13" s="49" t="s">
        <v>32</v>
      </c>
      <c r="D13" s="50">
        <v>46252.0</v>
      </c>
      <c r="E13" s="50">
        <v>46252.0</v>
      </c>
      <c r="F13" s="50">
        <v>46262.0</v>
      </c>
      <c r="G13" s="50">
        <v>46262.0</v>
      </c>
      <c r="H13" s="51" t="s">
        <v>88</v>
      </c>
      <c r="I13" s="68">
        <v>1.0</v>
      </c>
      <c r="J13" s="54">
        <f>IFERROR(__xludf.DUMMYFUNCTION("IF(OR(D13="""", E13=""""),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E13 - D13)"),0.0)</f>
        <v>0</v>
      </c>
      <c r="K13" s="55">
        <f>IFERROR(__xludf.DUMMYFUNCTION("IF(ISNUMBER(F13), IF(ISNUMBER(G13), G13 - F13, TODAY() - F13),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""""))"),0.0)</f>
        <v>0</v>
      </c>
      <c r="M13" s="77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80"/>
      <c r="BD13" s="54"/>
    </row>
    <row r="14">
      <c r="A14" s="46" t="s">
        <v>90</v>
      </c>
      <c r="B14" s="47" t="s">
        <v>91</v>
      </c>
      <c r="C14" s="49" t="s">
        <v>32</v>
      </c>
      <c r="D14" s="50">
        <v>46262.0</v>
      </c>
      <c r="E14" s="50">
        <v>46262.0</v>
      </c>
      <c r="F14" s="50">
        <v>46262.0</v>
      </c>
      <c r="G14" s="50">
        <v>46262.0</v>
      </c>
      <c r="H14" s="51"/>
      <c r="I14" s="68">
        <v>1.0</v>
      </c>
      <c r="J14" s="54">
        <f>IFERROR(__xludf.DUMMYFUNCTION("IF(OR(D14="""", E14=""""),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E14 - D14)"),0.0)</f>
        <v>0</v>
      </c>
      <c r="K14" s="55">
        <f>IFERROR(__xludf.DUMMYFUNCTION("IF(ISNUMBER(F14), IF(ISNUMBER(G14), G14 - F14, TODAY() - F14),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""""))"),0.0)</f>
        <v>0</v>
      </c>
      <c r="M14" s="77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80"/>
      <c r="BD14" s="54"/>
    </row>
    <row r="15">
      <c r="A15" s="46">
        <v>2.0</v>
      </c>
      <c r="B15" s="47" t="s">
        <v>94</v>
      </c>
      <c r="C15" s="46"/>
      <c r="D15" s="50">
        <v>46262.0</v>
      </c>
      <c r="E15" s="50">
        <v>46300.0</v>
      </c>
      <c r="F15" s="50"/>
      <c r="G15" s="50"/>
      <c r="H15" s="51"/>
      <c r="I15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0)"),0.13333333333333333)</f>
        <v>0.1333333333</v>
      </c>
      <c r="J15" s="54">
        <f>IFERROR(__xludf.DUMMYFUNCTION("IF(OR(D15="""", E15=""""),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E15 - D15)"),38.0)</f>
        <v>38</v>
      </c>
      <c r="K15" s="55">
        <f>IFERROR(__xludf.DUMMYFUNCTION("IF(ISNUMBER(F15), IF(ISNUMBER(G15), G15 - F15, TODAY() - F15),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""""))"),43.0)</f>
        <v>43</v>
      </c>
      <c r="M15" s="77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80"/>
      <c r="BD15" s="54"/>
    </row>
    <row r="16">
      <c r="A16" s="46">
        <v>2.1</v>
      </c>
      <c r="B16" s="47" t="s">
        <v>99</v>
      </c>
      <c r="C16" s="49" t="s">
        <v>100</v>
      </c>
      <c r="D16" s="50">
        <v>46262.0</v>
      </c>
      <c r="E16" s="50">
        <v>46300.0</v>
      </c>
      <c r="F16" s="50"/>
      <c r="G16" s="50"/>
      <c r="H16" s="51" t="s">
        <v>101</v>
      </c>
      <c r="I16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0)"),0.13333333333333333)</f>
        <v>0.1333333333</v>
      </c>
      <c r="J16" s="54">
        <f>IFERROR(__xludf.DUMMYFUNCTION("IF(OR(D16="""", E16=""""),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E16 - D16)"),38.0)</f>
        <v>38</v>
      </c>
      <c r="K16" s="55">
        <f>IFERROR(__xludf.DUMMYFUNCTION("IF(ISNUMBER(F16), IF(ISNUMBER(G16), G16 - F16, TODAY() - F16),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""""))"),43.0)</f>
        <v>43</v>
      </c>
      <c r="M16" s="77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80"/>
      <c r="BD16" s="54"/>
    </row>
    <row r="17">
      <c r="A17" s="46" t="s">
        <v>104</v>
      </c>
      <c r="B17" s="47" t="s">
        <v>105</v>
      </c>
      <c r="C17" s="49" t="s">
        <v>100</v>
      </c>
      <c r="D17" s="50">
        <v>46262.0</v>
      </c>
      <c r="E17" s="50">
        <v>46286.0</v>
      </c>
      <c r="F17" s="50">
        <v>46279.0</v>
      </c>
      <c r="G17" s="50"/>
      <c r="H17" s="51"/>
      <c r="I17" s="68">
        <v>0.4</v>
      </c>
      <c r="J17" s="54">
        <f>IFERROR(__xludf.DUMMYFUNCTION("IF(OR(D17="""", E17=""""),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E17 - D17)"),24.0)</f>
        <v>24</v>
      </c>
      <c r="K17" s="55">
        <f>IFERROR(__xludf.DUMMYFUNCTION("IF(ISNUMBER(F17), IF(ISNUMBER(G17), G17 - F17, TODAY() - F17),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""""))"),43.0)</f>
        <v>43</v>
      </c>
      <c r="M17" s="77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80"/>
      <c r="BD17" s="54"/>
    </row>
    <row r="18">
      <c r="A18" s="46" t="s">
        <v>108</v>
      </c>
      <c r="B18" s="47" t="s">
        <v>109</v>
      </c>
      <c r="C18" s="49" t="s">
        <v>100</v>
      </c>
      <c r="D18" s="50">
        <v>46286.0</v>
      </c>
      <c r="E18" s="50">
        <v>46304.0</v>
      </c>
      <c r="F18" s="50"/>
      <c r="G18" s="50"/>
      <c r="H18" s="51"/>
      <c r="I18" s="68">
        <v>0.0</v>
      </c>
      <c r="J18" s="54">
        <f>IFERROR(__xludf.DUMMYFUNCTION("IF(OR(D18="""", E18=""""),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E18 - D18)"),18.0)</f>
        <v>18</v>
      </c>
      <c r="K18" s="55" t="str">
        <f>IFERROR(__xludf.DUMMYFUNCTION("IF(ISNUMBER(F18), IF(ISNUMBER(G18), G18 - F18, TODAY() - F18),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18" s="77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80"/>
      <c r="BD18" s="54"/>
    </row>
    <row r="19">
      <c r="A19" s="46" t="s">
        <v>112</v>
      </c>
      <c r="B19" s="47" t="s">
        <v>113</v>
      </c>
      <c r="C19" s="49" t="s">
        <v>100</v>
      </c>
      <c r="D19" s="50">
        <v>46295.0</v>
      </c>
      <c r="E19" s="50">
        <v>46300.0</v>
      </c>
      <c r="F19" s="50"/>
      <c r="G19" s="50"/>
      <c r="H19" s="51"/>
      <c r="I19" s="68">
        <v>0.0</v>
      </c>
      <c r="J19" s="54">
        <f>IFERROR(__xludf.DUMMYFUNCTION("IF(OR(D19="""", E19=""""),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E19 - D19)"),5.0)</f>
        <v>5</v>
      </c>
      <c r="K19" s="55" t="str">
        <f>IFERROR(__xludf.DUMMYFUNCTION("IF(ISNUMBER(F19), IF(ISNUMBER(G19), G19 - F19, TODAY() - F19),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19" s="77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80"/>
      <c r="BD19" s="54"/>
    </row>
    <row r="20">
      <c r="A20" s="46">
        <v>3.0</v>
      </c>
      <c r="B20" s="47" t="s">
        <v>63</v>
      </c>
      <c r="C20" s="49" t="s">
        <v>32</v>
      </c>
      <c r="D20" s="50">
        <v>46233.0</v>
      </c>
      <c r="E20" s="50">
        <v>46248.0</v>
      </c>
      <c r="F20" s="50">
        <v>46234.0</v>
      </c>
      <c r="G20" s="50">
        <v>46248.0</v>
      </c>
      <c r="H20" s="51"/>
      <c r="I20" s="68">
        <v>1.0</v>
      </c>
      <c r="J20" s="54">
        <f>IFERROR(__xludf.DUMMYFUNCTION("IF(OR(D20="""", E20=""""),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E20 - D20)"),15.0)</f>
        <v>15</v>
      </c>
      <c r="K20" s="55">
        <f>IFERROR(__xludf.DUMMYFUNCTION("IF(ISNUMBER(F20), IF(ISNUMBER(G20), G20 - F20, TODAY() - F20),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20" s="77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80"/>
      <c r="BD20" s="54"/>
    </row>
    <row r="21">
      <c r="A21" s="46">
        <v>3.1</v>
      </c>
      <c r="B21" s="47" t="s">
        <v>116</v>
      </c>
      <c r="C21" s="49" t="s">
        <v>32</v>
      </c>
      <c r="D21" s="50">
        <v>46233.0</v>
      </c>
      <c r="E21" s="50">
        <v>46248.0</v>
      </c>
      <c r="F21" s="50">
        <v>46234.0</v>
      </c>
      <c r="G21" s="50">
        <v>46248.0</v>
      </c>
      <c r="H21" s="51"/>
      <c r="I21" s="68">
        <v>1.0</v>
      </c>
      <c r="J21" s="54">
        <f>IFERROR(__xludf.DUMMYFUNCTION("IF(OR(D21="""", E21=""""),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E21 - D21)"),15.0)</f>
        <v>15</v>
      </c>
      <c r="K21" s="55">
        <f>IFERROR(__xludf.DUMMYFUNCTION("IF(ISNUMBER(F21), IF(ISNUMBER(G21), G21 - F21, TODAY() - F21),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21" s="77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80"/>
      <c r="BD21" s="54"/>
    </row>
    <row r="22">
      <c r="A22" s="46" t="s">
        <v>133</v>
      </c>
      <c r="B22" s="47" t="s">
        <v>134</v>
      </c>
      <c r="C22" s="49" t="s">
        <v>32</v>
      </c>
      <c r="D22" s="50">
        <v>46233.0</v>
      </c>
      <c r="E22" s="50">
        <v>46248.0</v>
      </c>
      <c r="F22" s="50">
        <v>46234.0</v>
      </c>
      <c r="G22" s="50">
        <v>46248.0</v>
      </c>
      <c r="H22" s="51"/>
      <c r="I22" s="68">
        <v>1.0</v>
      </c>
      <c r="J22" s="54">
        <f>IFERROR(__xludf.DUMMYFUNCTION("IF(OR(D22="""", E22=""""),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E22 - D22)"),15.0)</f>
        <v>15</v>
      </c>
      <c r="K22" s="55">
        <f>IFERROR(__xludf.DUMMYFUNCTION("IF(ISNUMBER(F22), IF(ISNUMBER(G22), G22 - F22, TODAY() - F22),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22" s="77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80"/>
      <c r="BD22" s="54"/>
    </row>
    <row r="23">
      <c r="A23" s="46" t="s">
        <v>139</v>
      </c>
      <c r="B23" s="47" t="s">
        <v>140</v>
      </c>
      <c r="C23" s="49" t="s">
        <v>32</v>
      </c>
      <c r="D23" s="50">
        <v>46233.0</v>
      </c>
      <c r="E23" s="50">
        <v>46248.0</v>
      </c>
      <c r="F23" s="50">
        <v>46234.0</v>
      </c>
      <c r="G23" s="50">
        <v>46248.0</v>
      </c>
      <c r="H23" s="51"/>
      <c r="I23" s="68">
        <v>1.0</v>
      </c>
      <c r="J23" s="54">
        <f>IFERROR(__xludf.DUMMYFUNCTION("IF(OR(D23="""", E23=""""),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E23 - D23)"),15.0)</f>
        <v>15</v>
      </c>
      <c r="K23" s="55">
        <f>IFERROR(__xludf.DUMMYFUNCTION("IF(ISNUMBER(F23), IF(ISNUMBER(G23), G23 - F23, TODAY() - F23),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23" s="77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80"/>
      <c r="BD23" s="54"/>
    </row>
    <row r="24">
      <c r="A24" s="46" t="s">
        <v>144</v>
      </c>
      <c r="B24" s="47" t="s">
        <v>145</v>
      </c>
      <c r="C24" s="49" t="s">
        <v>32</v>
      </c>
      <c r="D24" s="50">
        <v>46233.0</v>
      </c>
      <c r="E24" s="50">
        <v>46248.0</v>
      </c>
      <c r="F24" s="50">
        <v>46234.0</v>
      </c>
      <c r="G24" s="50">
        <v>46248.0</v>
      </c>
      <c r="H24" s="92"/>
      <c r="I24" s="68">
        <v>1.0</v>
      </c>
      <c r="J24" s="54">
        <f>IFERROR(__xludf.DUMMYFUNCTION("IF(OR(D24="""", E24=""""),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E24 - D24)"),15.0)</f>
        <v>15</v>
      </c>
      <c r="K24" s="55">
        <f>IFERROR(__xludf.DUMMYFUNCTION("IF(ISNUMBER(F24), IF(ISNUMBER(G24), G24 - F24, TODAY() - F24),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24" s="77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80"/>
      <c r="BD24" s="54"/>
    </row>
    <row r="25">
      <c r="A25" s="46" t="s">
        <v>150</v>
      </c>
      <c r="B25" s="47" t="s">
        <v>152</v>
      </c>
      <c r="C25" s="49" t="s">
        <v>32</v>
      </c>
      <c r="D25" s="50">
        <v>46233.0</v>
      </c>
      <c r="E25" s="50">
        <v>46248.0</v>
      </c>
      <c r="F25" s="50">
        <v>46234.0</v>
      </c>
      <c r="G25" s="50">
        <v>46248.0</v>
      </c>
      <c r="H25" s="92"/>
      <c r="I25" s="68">
        <v>1.0</v>
      </c>
      <c r="J25" s="54">
        <f>IFERROR(__xludf.DUMMYFUNCTION("IF(OR(D25="""", E25=""""),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E25 - D25)"),15.0)</f>
        <v>15</v>
      </c>
      <c r="K25" s="55">
        <f>IFERROR(__xludf.DUMMYFUNCTION("IF(ISNUMBER(F25), IF(ISNUMBER(G25), G25 - F25, TODAY() - F25),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25" s="77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80"/>
      <c r="BD25" s="54"/>
    </row>
    <row r="26">
      <c r="A26" s="46" t="s">
        <v>154</v>
      </c>
      <c r="B26" s="47" t="s">
        <v>155</v>
      </c>
      <c r="C26" s="49" t="s">
        <v>32</v>
      </c>
      <c r="D26" s="50">
        <v>46233.0</v>
      </c>
      <c r="E26" s="50">
        <v>46248.0</v>
      </c>
      <c r="F26" s="50">
        <v>46234.0</v>
      </c>
      <c r="G26" s="50">
        <v>46248.0</v>
      </c>
      <c r="H26" s="92"/>
      <c r="I26" s="68">
        <v>1.0</v>
      </c>
      <c r="J26" s="54">
        <f>IFERROR(__xludf.DUMMYFUNCTION("IF(OR(D26="""", E26=""""),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E26 - D26)"),15.0)</f>
        <v>15</v>
      </c>
      <c r="K26" s="55">
        <f>IFERROR(__xludf.DUMMYFUNCTION("IF(ISNUMBER(F26), IF(ISNUMBER(G26), G26 - F26, TODAY() - F26),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26" s="77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80"/>
      <c r="BD26" s="54"/>
    </row>
    <row r="27">
      <c r="A27" s="46" t="s">
        <v>158</v>
      </c>
      <c r="B27" s="47" t="s">
        <v>159</v>
      </c>
      <c r="C27" s="49" t="s">
        <v>32</v>
      </c>
      <c r="D27" s="50">
        <v>46233.0</v>
      </c>
      <c r="E27" s="50">
        <v>46248.0</v>
      </c>
      <c r="F27" s="50">
        <v>46234.0</v>
      </c>
      <c r="G27" s="50">
        <v>46248.0</v>
      </c>
      <c r="H27" s="92"/>
      <c r="I27" s="68">
        <v>1.0</v>
      </c>
      <c r="J27" s="54">
        <f>IFERROR(__xludf.DUMMYFUNCTION("IF(OR(D27="""", E27=""""),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E27 - D27)"),15.0)</f>
        <v>15</v>
      </c>
      <c r="K27" s="55">
        <f>IFERROR(__xludf.DUMMYFUNCTION("IF(ISNUMBER(F27), IF(ISNUMBER(G27), G27 - F27, TODAY() - F27),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27" s="77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80"/>
      <c r="BD27" s="54"/>
    </row>
    <row r="28">
      <c r="A28" s="46">
        <v>3.2</v>
      </c>
      <c r="B28" s="47" t="s">
        <v>161</v>
      </c>
      <c r="C28" s="49" t="s">
        <v>32</v>
      </c>
      <c r="D28" s="50">
        <v>46233.0</v>
      </c>
      <c r="E28" s="50">
        <v>46248.0</v>
      </c>
      <c r="F28" s="50">
        <v>46234.0</v>
      </c>
      <c r="G28" s="50">
        <v>46248.0</v>
      </c>
      <c r="H28" s="95"/>
      <c r="I28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0)"),0.0)</f>
        <v>0</v>
      </c>
      <c r="J28" s="54">
        <f>IFERROR(__xludf.DUMMYFUNCTION("IF(OR(D28="""", E28=""""),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E28 - D28)"),15.0)</f>
        <v>15</v>
      </c>
      <c r="K28" s="55">
        <f>IFERROR(__xludf.DUMMYFUNCTION("IF(ISNUMBER(F28), IF(ISNUMBER(G28), G28 - F28, TODAY() - F28),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28" s="77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80"/>
      <c r="BD28" s="54"/>
    </row>
    <row r="29">
      <c r="A29" s="46" t="s">
        <v>164</v>
      </c>
      <c r="B29" s="47" t="s">
        <v>165</v>
      </c>
      <c r="C29" s="49" t="s">
        <v>32</v>
      </c>
      <c r="D29" s="50">
        <v>46233.0</v>
      </c>
      <c r="E29" s="50">
        <v>46248.0</v>
      </c>
      <c r="F29" s="50">
        <v>46234.0</v>
      </c>
      <c r="G29" s="50">
        <v>46248.0</v>
      </c>
      <c r="H29" s="92"/>
      <c r="I29" s="68">
        <v>0.0</v>
      </c>
      <c r="J29" s="54">
        <f>IFERROR(__xludf.DUMMYFUNCTION("IF(OR(D29="""", E29=""""),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E29 - D29)"),15.0)</f>
        <v>15</v>
      </c>
      <c r="K29" s="55">
        <f>IFERROR(__xludf.DUMMYFUNCTION("IF(ISNUMBER(F29), IF(ISNUMBER(G29), G29 - F29, TODAY() - F29),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29" s="77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80"/>
      <c r="BD29" s="54"/>
    </row>
    <row r="30">
      <c r="A30" s="46" t="s">
        <v>167</v>
      </c>
      <c r="B30" s="47" t="s">
        <v>168</v>
      </c>
      <c r="C30" s="49" t="s">
        <v>32</v>
      </c>
      <c r="D30" s="50">
        <v>46233.0</v>
      </c>
      <c r="E30" s="50">
        <v>46248.0</v>
      </c>
      <c r="F30" s="50">
        <v>46234.0</v>
      </c>
      <c r="G30" s="50">
        <v>46248.0</v>
      </c>
      <c r="H30" s="92"/>
      <c r="I30" s="68">
        <v>0.0</v>
      </c>
      <c r="J30" s="54">
        <f>IFERROR(__xludf.DUMMYFUNCTION("IF(OR(D30="""", E30=""""),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E30 - D30)"),15.0)</f>
        <v>15</v>
      </c>
      <c r="K30" s="55">
        <f>IFERROR(__xludf.DUMMYFUNCTION("IF(ISNUMBER(F30), IF(ISNUMBER(G30), G30 - F30, TODAY() - F30),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30" s="77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80"/>
      <c r="BD30" s="54"/>
    </row>
    <row r="31">
      <c r="A31" s="46" t="s">
        <v>169</v>
      </c>
      <c r="B31" s="47" t="s">
        <v>170</v>
      </c>
      <c r="C31" s="49" t="s">
        <v>32</v>
      </c>
      <c r="D31" s="50">
        <v>46233.0</v>
      </c>
      <c r="E31" s="50">
        <v>46248.0</v>
      </c>
      <c r="F31" s="50">
        <v>46234.0</v>
      </c>
      <c r="G31" s="50">
        <v>46248.0</v>
      </c>
      <c r="H31" s="92"/>
      <c r="I31" s="68">
        <v>0.0</v>
      </c>
      <c r="J31" s="54">
        <f>IFERROR(__xludf.DUMMYFUNCTION("IF(OR(D31="""", E31=""""),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E31 - D31)"),15.0)</f>
        <v>15</v>
      </c>
      <c r="K31" s="55">
        <f>IFERROR(__xludf.DUMMYFUNCTION("IF(ISNUMBER(F31), IF(ISNUMBER(G31), G31 - F31, TODAY() - F31),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31" s="77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80"/>
      <c r="BD31" s="54"/>
    </row>
    <row r="32">
      <c r="A32" s="46">
        <v>4.0</v>
      </c>
      <c r="B32" s="47" t="s">
        <v>160</v>
      </c>
      <c r="C32" s="49" t="s">
        <v>32</v>
      </c>
      <c r="D32" s="50">
        <v>46230.0</v>
      </c>
      <c r="E32" s="50">
        <v>46441.0</v>
      </c>
      <c r="F32" s="50">
        <v>46230.0</v>
      </c>
      <c r="G32" s="50">
        <v>46267.0</v>
      </c>
      <c r="H32" s="96"/>
      <c r="I32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0)"),0.64)</f>
        <v>0.64</v>
      </c>
      <c r="J32" s="54">
        <f>IFERROR(__xludf.DUMMYFUNCTION("IF(OR(D32="""", E32=""""),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E32 - D32)"),211.0)</f>
        <v>211</v>
      </c>
      <c r="K32" s="55">
        <f>IFERROR(__xludf.DUMMYFUNCTION("IF(ISNUMBER(F32), IF(ISNUMBER(G32), G32 - F32, TODAY() - F32),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""""))"),37.0)</f>
        <v>37</v>
      </c>
      <c r="M32" s="77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80"/>
      <c r="BD32" s="54"/>
    </row>
    <row r="33">
      <c r="A33" s="46">
        <v>4.1</v>
      </c>
      <c r="B33" s="47" t="s">
        <v>174</v>
      </c>
      <c r="C33" s="49" t="s">
        <v>32</v>
      </c>
      <c r="D33" s="50">
        <v>46230.0</v>
      </c>
      <c r="E33" s="50">
        <v>46267.0</v>
      </c>
      <c r="F33" s="50">
        <v>46230.0</v>
      </c>
      <c r="G33" s="50">
        <v>46267.0</v>
      </c>
      <c r="H33" s="96"/>
      <c r="I33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0)"),1.0)</f>
        <v>1</v>
      </c>
      <c r="J33" s="54">
        <f>IFERROR(__xludf.DUMMYFUNCTION("IF(OR(D33="""", E33=""""),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E33 - D33)"),37.0)</f>
        <v>37</v>
      </c>
      <c r="K33" s="55">
        <f>IFERROR(__xludf.DUMMYFUNCTION("IF(ISNUMBER(F33), IF(ISNUMBER(G33), G33 - F33, TODAY() - F33),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""""))"),37.0)</f>
        <v>37</v>
      </c>
      <c r="M33" s="77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80"/>
      <c r="BD33" s="54"/>
    </row>
    <row r="34">
      <c r="A34" s="46" t="s">
        <v>175</v>
      </c>
      <c r="B34" s="47" t="s">
        <v>176</v>
      </c>
      <c r="C34" s="49" t="s">
        <v>32</v>
      </c>
      <c r="D34" s="50">
        <v>46230.0</v>
      </c>
      <c r="E34" s="50">
        <v>46234.0</v>
      </c>
      <c r="F34" s="50">
        <v>46231.0</v>
      </c>
      <c r="G34" s="50">
        <v>46234.0</v>
      </c>
      <c r="H34" s="96"/>
      <c r="I34" s="68">
        <v>1.0</v>
      </c>
      <c r="J34" s="54">
        <f>IFERROR(__xludf.DUMMYFUNCTION("IF(OR(D34="""", E34=""""),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E34 - D34)"),4.0)</f>
        <v>4</v>
      </c>
      <c r="K34" s="55">
        <f>IFERROR(__xludf.DUMMYFUNCTION("IF(ISNUMBER(F34), IF(ISNUMBER(G34), G34 - F34, TODAY() - F34),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""""))"),3.0)</f>
        <v>3</v>
      </c>
      <c r="M34" s="77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80"/>
      <c r="BD34" s="54"/>
    </row>
    <row r="35">
      <c r="A35" s="46" t="s">
        <v>179</v>
      </c>
      <c r="B35" s="47" t="s">
        <v>180</v>
      </c>
      <c r="C35" s="49" t="s">
        <v>32</v>
      </c>
      <c r="D35" s="50">
        <v>46265.0</v>
      </c>
      <c r="E35" s="50">
        <v>46267.0</v>
      </c>
      <c r="F35" s="50">
        <v>46265.0</v>
      </c>
      <c r="G35" s="50">
        <v>46265.0</v>
      </c>
      <c r="H35" s="96"/>
      <c r="I35" s="68">
        <v>1.0</v>
      </c>
      <c r="J35" s="54">
        <f>IFERROR(__xludf.DUMMYFUNCTION("IF(OR(D35="""", E35=""""),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E35 - D35)"),2.0)</f>
        <v>2</v>
      </c>
      <c r="K35" s="55">
        <f>IFERROR(__xludf.DUMMYFUNCTION("IF(ISNUMBER(F35), IF(ISNUMBER(G35), G35 - F35, TODAY() - F35),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""""))"),0.0)</f>
        <v>0</v>
      </c>
      <c r="M35" s="77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80"/>
      <c r="BD35" s="54"/>
    </row>
    <row r="36">
      <c r="A36" s="46" t="s">
        <v>192</v>
      </c>
      <c r="B36" s="47" t="s">
        <v>194</v>
      </c>
      <c r="C36" s="49" t="s">
        <v>32</v>
      </c>
      <c r="D36" s="50">
        <v>46258.0</v>
      </c>
      <c r="E36" s="50">
        <v>46258.0</v>
      </c>
      <c r="F36" s="50">
        <v>46258.0</v>
      </c>
      <c r="G36" s="50">
        <v>46258.0</v>
      </c>
      <c r="H36" s="96"/>
      <c r="I36" s="68">
        <v>1.0</v>
      </c>
      <c r="J36" s="54">
        <f>IFERROR(__xludf.DUMMYFUNCTION("IF(OR(D36="""", E36=""""),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E36 - D36)"),0.0)</f>
        <v>0</v>
      </c>
      <c r="K36" s="55">
        <f>IFERROR(__xludf.DUMMYFUNCTION("IF(ISNUMBER(F36), IF(ISNUMBER(G36), G36 - F36, TODAY() - F36),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""""))"),0.0)</f>
        <v>0</v>
      </c>
      <c r="M36" s="77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80"/>
      <c r="BD36" s="54"/>
    </row>
    <row r="37">
      <c r="A37" s="46" t="s">
        <v>197</v>
      </c>
      <c r="B37" s="47" t="s">
        <v>198</v>
      </c>
      <c r="C37" s="49" t="s">
        <v>32</v>
      </c>
      <c r="D37" s="50">
        <v>46230.0</v>
      </c>
      <c r="E37" s="50">
        <v>46269.0</v>
      </c>
      <c r="F37" s="50">
        <v>46230.0</v>
      </c>
      <c r="G37" s="50">
        <v>46267.0</v>
      </c>
      <c r="H37" s="96"/>
      <c r="I37" s="68">
        <v>1.0</v>
      </c>
      <c r="J37" s="54">
        <f>IFERROR(__xludf.DUMMYFUNCTION("IF(OR(D37="""", E37=""""),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E37 - D37)"),39.0)</f>
        <v>39</v>
      </c>
      <c r="K37" s="55">
        <f>IFERROR(__xludf.DUMMYFUNCTION("IF(ISNUMBER(F37), IF(ISNUMBER(G37), G37 - F37, TODAY() - F37),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""""))"),37.0)</f>
        <v>37</v>
      </c>
      <c r="M37" s="77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80"/>
      <c r="BD37" s="54"/>
    </row>
    <row r="38">
      <c r="A38" s="46" t="s">
        <v>200</v>
      </c>
      <c r="B38" s="47" t="s">
        <v>201</v>
      </c>
      <c r="C38" s="49" t="s">
        <v>32</v>
      </c>
      <c r="D38" s="50">
        <v>46234.0</v>
      </c>
      <c r="E38" s="50">
        <v>46237.0</v>
      </c>
      <c r="F38" s="50">
        <v>46237.0</v>
      </c>
      <c r="G38" s="50">
        <v>46237.0</v>
      </c>
      <c r="H38" s="96"/>
      <c r="I38" s="68">
        <v>1.0</v>
      </c>
      <c r="J38" s="54">
        <f>IFERROR(__xludf.DUMMYFUNCTION("IF(OR(D38="""", E38=""""),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E38 - D38)"),3.0)</f>
        <v>3</v>
      </c>
      <c r="K38" s="55">
        <f>IFERROR(__xludf.DUMMYFUNCTION("IF(ISNUMBER(F38), IF(ISNUMBER(G38), G38 - F38, TODAY() - F38),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""""))"),0.0)</f>
        <v>0</v>
      </c>
      <c r="M38" s="77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80"/>
      <c r="BD38" s="54"/>
    </row>
    <row r="39">
      <c r="A39" s="46" t="s">
        <v>202</v>
      </c>
      <c r="B39" s="47" t="s">
        <v>203</v>
      </c>
      <c r="C39" s="49" t="s">
        <v>32</v>
      </c>
      <c r="D39" s="50">
        <v>46230.0</v>
      </c>
      <c r="E39" s="50">
        <v>46230.0</v>
      </c>
      <c r="F39" s="50">
        <v>46230.0</v>
      </c>
      <c r="G39" s="50">
        <v>46230.0</v>
      </c>
      <c r="H39" s="96"/>
      <c r="I39" s="68">
        <v>1.0</v>
      </c>
      <c r="J39" s="54">
        <f>IFERROR(__xludf.DUMMYFUNCTION("IF(OR(D39="""", E39=""""),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E39 - D39)"),0.0)</f>
        <v>0</v>
      </c>
      <c r="K39" s="55">
        <f>IFERROR(__xludf.DUMMYFUNCTION("IF(ISNUMBER(F39), IF(ISNUMBER(G39), G39 - F39, TODAY() - F39),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""""))"),0.0)</f>
        <v>0</v>
      </c>
      <c r="M39" s="77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80"/>
      <c r="BD39" s="54"/>
    </row>
    <row r="40">
      <c r="A40" s="46" t="s">
        <v>207</v>
      </c>
      <c r="B40" s="47" t="s">
        <v>208</v>
      </c>
      <c r="C40" s="49" t="s">
        <v>209</v>
      </c>
      <c r="D40" s="50">
        <v>46238.0</v>
      </c>
      <c r="E40" s="50">
        <v>46241.0</v>
      </c>
      <c r="F40" s="50">
        <v>46239.0</v>
      </c>
      <c r="G40" s="50">
        <v>46262.0</v>
      </c>
      <c r="H40" s="96"/>
      <c r="I40" s="68">
        <v>1.0</v>
      </c>
      <c r="J40" s="54">
        <f>IFERROR(__xludf.DUMMYFUNCTION("IF(OR(D40="""", E40=""""),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E40 - D40)"),3.0)</f>
        <v>3</v>
      </c>
      <c r="K40" s="55">
        <f>IFERROR(__xludf.DUMMYFUNCTION("IF(ISNUMBER(F40), IF(ISNUMBER(G40), G40 - F40, TODAY() - F40),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""""))"),23.0)</f>
        <v>23</v>
      </c>
      <c r="M40" s="77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80"/>
      <c r="BD40" s="54"/>
    </row>
    <row r="41">
      <c r="A41" s="46">
        <v>4.2</v>
      </c>
      <c r="B41" s="47" t="s">
        <v>211</v>
      </c>
      <c r="C41" s="49" t="s">
        <v>32</v>
      </c>
      <c r="D41" s="50">
        <v>46260.0</v>
      </c>
      <c r="E41" s="50">
        <v>46269.0</v>
      </c>
      <c r="F41" s="50">
        <v>46260.0</v>
      </c>
      <c r="G41" s="50">
        <v>46267.0</v>
      </c>
      <c r="H41" s="96"/>
      <c r="I41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0)"),1.0)</f>
        <v>1</v>
      </c>
      <c r="J41" s="54">
        <f>IFERROR(__xludf.DUMMYFUNCTION("IF(OR(D41="""", E41=""""),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E41 - D41)"),9.0)</f>
        <v>9</v>
      </c>
      <c r="K41" s="55">
        <f>IFERROR(__xludf.DUMMYFUNCTION("IF(ISNUMBER(F41), IF(ISNUMBER(G41), G41 - F41, TODAY() - F41),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""""))"),7.0)</f>
        <v>7</v>
      </c>
      <c r="M41" s="77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80"/>
      <c r="BD41" s="54"/>
    </row>
    <row r="42">
      <c r="A42" s="46" t="s">
        <v>213</v>
      </c>
      <c r="B42" s="47" t="s">
        <v>214</v>
      </c>
      <c r="C42" s="49" t="s">
        <v>209</v>
      </c>
      <c r="D42" s="50">
        <v>46260.0</v>
      </c>
      <c r="E42" s="50">
        <v>46262.0</v>
      </c>
      <c r="F42" s="50">
        <v>46268.0</v>
      </c>
      <c r="G42" s="50">
        <v>46266.0</v>
      </c>
      <c r="H42" s="110"/>
      <c r="I42" s="68">
        <v>1.0</v>
      </c>
      <c r="J42" s="54">
        <f>IFERROR(__xludf.DUMMYFUNCTION("IF(OR(D42="""", E42=""""),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E42 - D42)"),2.0)</f>
        <v>2</v>
      </c>
      <c r="K42" s="55">
        <f>IFERROR(__xludf.DUMMYFUNCTION("IF(ISNUMBER(F42), IF(ISNUMBER(G42), G42 - F42, TODAY() - F42),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""""))"),-2.0)</f>
        <v>-2</v>
      </c>
      <c r="M42" s="77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80"/>
      <c r="BD42" s="54"/>
    </row>
    <row r="43">
      <c r="A43" s="46" t="s">
        <v>216</v>
      </c>
      <c r="B43" s="47" t="s">
        <v>217</v>
      </c>
      <c r="C43" s="49" t="s">
        <v>32</v>
      </c>
      <c r="D43" s="50">
        <v>46231.0</v>
      </c>
      <c r="E43" s="50">
        <v>46269.0</v>
      </c>
      <c r="F43" s="50">
        <v>46231.0</v>
      </c>
      <c r="G43" s="50">
        <v>46267.0</v>
      </c>
      <c r="H43" s="110"/>
      <c r="I43" s="68">
        <v>1.0</v>
      </c>
      <c r="J43" s="54">
        <f>IFERROR(__xludf.DUMMYFUNCTION("IF(OR(D43="""", E43=""""),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E43 - D43)"),38.0)</f>
        <v>38</v>
      </c>
      <c r="K43" s="55">
        <f>IFERROR(__xludf.DUMMYFUNCTION("IF(ISNUMBER(F43), IF(ISNUMBER(G43), G43 - F43, TODAY() - F43),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""""))"),36.0)</f>
        <v>36</v>
      </c>
      <c r="M43" s="77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80"/>
      <c r="BD43" s="54"/>
    </row>
    <row r="44">
      <c r="A44" s="46" t="s">
        <v>219</v>
      </c>
      <c r="B44" s="47" t="s">
        <v>220</v>
      </c>
      <c r="C44" s="49" t="s">
        <v>32</v>
      </c>
      <c r="D44" s="50">
        <v>46238.0</v>
      </c>
      <c r="E44" s="50">
        <v>46242.0</v>
      </c>
      <c r="F44" s="50">
        <v>46238.0</v>
      </c>
      <c r="G44" s="50">
        <v>46240.0</v>
      </c>
      <c r="H44" s="110"/>
      <c r="I44" s="68">
        <v>1.0</v>
      </c>
      <c r="J44" s="54">
        <f>IFERROR(__xludf.DUMMYFUNCTION("IF(OR(D44="""", E44=""""),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E44 - D44)"),4.0)</f>
        <v>4</v>
      </c>
      <c r="K44" s="55">
        <f>IFERROR(__xludf.DUMMYFUNCTION("IF(ISNUMBER(F44), IF(ISNUMBER(G44), G44 - F44, TODAY() - F44),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""""))"),2.0)</f>
        <v>2</v>
      </c>
      <c r="M44" s="77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80"/>
      <c r="BD44" s="54"/>
    </row>
    <row r="45">
      <c r="A45" s="46" t="s">
        <v>221</v>
      </c>
      <c r="B45" s="47" t="s">
        <v>222</v>
      </c>
      <c r="C45" s="49" t="s">
        <v>32</v>
      </c>
      <c r="D45" s="50">
        <v>46252.0</v>
      </c>
      <c r="E45" s="50">
        <v>46269.0</v>
      </c>
      <c r="F45" s="50">
        <v>46252.0</v>
      </c>
      <c r="G45" s="50">
        <v>46262.0</v>
      </c>
      <c r="H45" s="110"/>
      <c r="I45" s="68">
        <v>1.0</v>
      </c>
      <c r="J45" s="54">
        <f>IFERROR(__xludf.DUMMYFUNCTION("IF(OR(D45="""", E45=""""),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E45 - D45)"),17.0)</f>
        <v>17</v>
      </c>
      <c r="K45" s="55">
        <f>IFERROR(__xludf.DUMMYFUNCTION("IF(ISNUMBER(F45), IF(ISNUMBER(G45), G45 - F45, TODAY() - F45),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""""))"),10.0)</f>
        <v>10</v>
      </c>
      <c r="M45" s="77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80"/>
      <c r="BD45" s="54"/>
    </row>
    <row r="46">
      <c r="A46" s="46" t="s">
        <v>223</v>
      </c>
      <c r="B46" s="47" t="s">
        <v>224</v>
      </c>
      <c r="C46" s="49" t="s">
        <v>32</v>
      </c>
      <c r="D46" s="50">
        <v>46252.0</v>
      </c>
      <c r="E46" s="50">
        <v>46269.0</v>
      </c>
      <c r="F46" s="50">
        <v>46252.0</v>
      </c>
      <c r="G46" s="50">
        <v>46269.0</v>
      </c>
      <c r="H46" s="110"/>
      <c r="I46" s="68">
        <v>1.0</v>
      </c>
      <c r="J46" s="54">
        <f>IFERROR(__xludf.DUMMYFUNCTION("IF(OR(D46="""", E46=""""),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E46 - D46)"),17.0)</f>
        <v>17</v>
      </c>
      <c r="K46" s="55">
        <f>IFERROR(__xludf.DUMMYFUNCTION("IF(ISNUMBER(F46), IF(ISNUMBER(G46), G46 - F46, TODAY() - F46),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""""))"),17.0)</f>
        <v>17</v>
      </c>
      <c r="M46" s="77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80"/>
      <c r="BD46" s="54"/>
    </row>
    <row r="47">
      <c r="A47" s="46">
        <v>4.3</v>
      </c>
      <c r="B47" s="47" t="s">
        <v>226</v>
      </c>
      <c r="C47" s="46" t="s">
        <v>227</v>
      </c>
      <c r="D47" s="50">
        <v>46286.0</v>
      </c>
      <c r="E47" s="50">
        <v>46349.0</v>
      </c>
      <c r="F47" s="50">
        <v>46286.0</v>
      </c>
      <c r="G47" s="50"/>
      <c r="H47" s="110" t="s">
        <v>228</v>
      </c>
      <c r="I47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0)"),0.6666666666666666)</f>
        <v>0.6666666667</v>
      </c>
      <c r="J47" s="54">
        <f>IFERROR(__xludf.DUMMYFUNCTION("IF(OR(D47="""", E47=""""),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E47 - D47)"),63.0)</f>
        <v>63</v>
      </c>
      <c r="K47" s="55">
        <f>IFERROR(__xludf.DUMMYFUNCTION("IF(ISNUMBER(F47), IF(ISNUMBER(G47), G47 - F47, TODAY() - F47),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""""))"),36.0)</f>
        <v>36</v>
      </c>
      <c r="M47" s="77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80"/>
      <c r="BD47" s="54"/>
    </row>
    <row r="48">
      <c r="A48" s="46" t="s">
        <v>229</v>
      </c>
      <c r="B48" s="47" t="s">
        <v>230</v>
      </c>
      <c r="C48" s="46" t="s">
        <v>227</v>
      </c>
      <c r="D48" s="50">
        <v>46280.0</v>
      </c>
      <c r="E48" s="50">
        <v>46349.0</v>
      </c>
      <c r="F48" s="50">
        <v>46286.0</v>
      </c>
      <c r="G48" s="50"/>
      <c r="H48" s="110"/>
      <c r="I48" s="68">
        <v>0.0</v>
      </c>
      <c r="J48" s="54">
        <f>IFERROR(__xludf.DUMMYFUNCTION("IF(OR(D48="""", E48=""""),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E48 - D48)"),69.0)</f>
        <v>69</v>
      </c>
      <c r="K48" s="55">
        <f>IFERROR(__xludf.DUMMYFUNCTION("IF(ISNUMBER(F48), IF(ISNUMBER(G48), G48 - F48, TODAY() - F48),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""""))"),36.0)</f>
        <v>36</v>
      </c>
      <c r="M48" s="77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80"/>
      <c r="BD48" s="54"/>
    </row>
    <row r="49">
      <c r="A49" s="46" t="s">
        <v>231</v>
      </c>
      <c r="B49" s="47" t="s">
        <v>232</v>
      </c>
      <c r="C49" s="46" t="s">
        <v>205</v>
      </c>
      <c r="D49" s="50">
        <v>46294.0</v>
      </c>
      <c r="E49" s="50">
        <v>46301.0</v>
      </c>
      <c r="F49" s="50">
        <v>46279.0</v>
      </c>
      <c r="G49" s="50">
        <v>46283.0</v>
      </c>
      <c r="H49" s="110"/>
      <c r="I49" s="68">
        <v>1.0</v>
      </c>
      <c r="J49" s="54">
        <f>IFERROR(__xludf.DUMMYFUNCTION("IF(OR(D49="""", E49=""""),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E49 - D49)"),7.0)</f>
        <v>7</v>
      </c>
      <c r="K49" s="55">
        <f>IFERROR(__xludf.DUMMYFUNCTION("IF(ISNUMBER(F49), IF(ISNUMBER(G49), G49 - F49, TODAY() - F49),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""""))"),4.0)</f>
        <v>4</v>
      </c>
      <c r="M49" s="77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80"/>
      <c r="BD49" s="54"/>
    </row>
    <row r="50">
      <c r="A50" s="46" t="s">
        <v>233</v>
      </c>
      <c r="B50" s="47" t="s">
        <v>234</v>
      </c>
      <c r="C50" s="46" t="s">
        <v>205</v>
      </c>
      <c r="D50" s="50">
        <v>46301.0</v>
      </c>
      <c r="E50" s="50">
        <v>46308.0</v>
      </c>
      <c r="F50" s="50">
        <v>46279.0</v>
      </c>
      <c r="G50" s="50">
        <v>46283.0</v>
      </c>
      <c r="H50" s="110"/>
      <c r="I50" s="68">
        <v>1.0</v>
      </c>
      <c r="J50" s="54">
        <f>IFERROR(__xludf.DUMMYFUNCTION("IF(OR(D50="""", E50=""""),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E50 - D50)"),7.0)</f>
        <v>7</v>
      </c>
      <c r="K50" s="55">
        <f>IFERROR(__xludf.DUMMYFUNCTION("IF(ISNUMBER(F50), IF(ISNUMBER(G50), G50 - F50, TODAY() - F50),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""""))"),4.0)</f>
        <v>4</v>
      </c>
      <c r="M50" s="77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80"/>
      <c r="BD50" s="54"/>
    </row>
    <row r="51">
      <c r="A51" s="46" t="s">
        <v>235</v>
      </c>
      <c r="B51" s="47" t="s">
        <v>236</v>
      </c>
      <c r="C51" s="46" t="s">
        <v>205</v>
      </c>
      <c r="D51" s="50">
        <v>46308.0</v>
      </c>
      <c r="E51" s="50">
        <v>46315.0</v>
      </c>
      <c r="F51" s="50">
        <v>46279.0</v>
      </c>
      <c r="G51" s="50">
        <v>46283.0</v>
      </c>
      <c r="H51" s="110"/>
      <c r="I51" s="68">
        <v>1.0</v>
      </c>
      <c r="J51" s="54">
        <f>IFERROR(__xludf.DUMMYFUNCTION("IF(OR(D51="""", E51=""""),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E51 - D51)"),7.0)</f>
        <v>7</v>
      </c>
      <c r="K51" s="55">
        <f>IFERROR(__xludf.DUMMYFUNCTION("IF(ISNUMBER(F51), IF(ISNUMBER(G51), G51 - F51, TODAY() - F51),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""""))"),4.0)</f>
        <v>4</v>
      </c>
      <c r="M51" s="77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80"/>
      <c r="BD51" s="54"/>
    </row>
    <row r="52">
      <c r="A52" s="46" t="s">
        <v>237</v>
      </c>
      <c r="B52" s="47" t="s">
        <v>238</v>
      </c>
      <c r="C52" s="46" t="s">
        <v>205</v>
      </c>
      <c r="D52" s="50">
        <v>46315.0</v>
      </c>
      <c r="E52" s="50">
        <v>46322.0</v>
      </c>
      <c r="F52" s="50">
        <v>46279.0</v>
      </c>
      <c r="G52" s="50">
        <v>46283.0</v>
      </c>
      <c r="H52" s="110"/>
      <c r="I52" s="68">
        <v>1.0</v>
      </c>
      <c r="J52" s="54">
        <f>IFERROR(__xludf.DUMMYFUNCTION("IF(OR(D52="""", E52=""""),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E52 - D52)"),7.0)</f>
        <v>7</v>
      </c>
      <c r="K52" s="55">
        <f>IFERROR(__xludf.DUMMYFUNCTION("IF(ISNUMBER(F52), IF(ISNUMBER(G52), G52 - F52, TODAY() - F52),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""""))"),4.0)</f>
        <v>4</v>
      </c>
      <c r="M52" s="77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80"/>
      <c r="BD52" s="54"/>
    </row>
    <row r="53">
      <c r="A53" s="46" t="s">
        <v>239</v>
      </c>
      <c r="B53" s="47" t="s">
        <v>240</v>
      </c>
      <c r="C53" s="46" t="s">
        <v>227</v>
      </c>
      <c r="D53" s="50">
        <v>46322.0</v>
      </c>
      <c r="E53" s="50">
        <v>46336.0</v>
      </c>
      <c r="F53" s="50"/>
      <c r="G53" s="50"/>
      <c r="H53" s="110"/>
      <c r="I53" s="68">
        <v>0.0</v>
      </c>
      <c r="J53" s="54">
        <f>IFERROR(__xludf.DUMMYFUNCTION("IF(OR(D53="""", E53=""""),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E53 - D53)"),14.0)</f>
        <v>14</v>
      </c>
      <c r="K53" s="55" t="str">
        <f>IFERROR(__xludf.DUMMYFUNCTION("IF(ISNUMBER(F53), IF(ISNUMBER(G53), G53 - F53, TODAY() - F53),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53" s="77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80"/>
      <c r="BD53" s="54"/>
    </row>
    <row r="54">
      <c r="A54" s="46">
        <v>4.4</v>
      </c>
      <c r="B54" s="47" t="s">
        <v>241</v>
      </c>
      <c r="C54" s="46" t="s">
        <v>163</v>
      </c>
      <c r="D54" s="50">
        <v>46286.0</v>
      </c>
      <c r="E54" s="50">
        <v>46326.0</v>
      </c>
      <c r="F54" s="50">
        <v>46286.0</v>
      </c>
      <c r="G54" s="50"/>
      <c r="H54" s="110"/>
      <c r="I54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0)"),0.9)</f>
        <v>0.9</v>
      </c>
      <c r="J54" s="54">
        <f>IFERROR(__xludf.DUMMYFUNCTION("IF(OR(D54="""", E54=""""),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E54 - D54)"),40.0)</f>
        <v>40</v>
      </c>
      <c r="K54" s="55">
        <f>IFERROR(__xludf.DUMMYFUNCTION("IF(ISNUMBER(F54), IF(ISNUMBER(G54), G54 - F54, TODAY() - F54),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""""))"),36.0)</f>
        <v>36</v>
      </c>
      <c r="M54" s="77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80"/>
      <c r="BD54" s="54"/>
    </row>
    <row r="55">
      <c r="A55" s="46" t="s">
        <v>242</v>
      </c>
      <c r="B55" s="47" t="s">
        <v>243</v>
      </c>
      <c r="C55" s="46" t="s">
        <v>163</v>
      </c>
      <c r="D55" s="50">
        <v>46286.0</v>
      </c>
      <c r="E55" s="50">
        <v>46326.0</v>
      </c>
      <c r="F55" s="50">
        <v>46300.0</v>
      </c>
      <c r="G55" s="50"/>
      <c r="H55" s="110"/>
      <c r="I55" s="68">
        <v>0.4</v>
      </c>
      <c r="J55" s="54">
        <f>IFERROR(__xludf.DUMMYFUNCTION("IF(OR(D55="""", E55=""""),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E55 - D55)"),40.0)</f>
        <v>40</v>
      </c>
      <c r="K55" s="55">
        <f>IFERROR(__xludf.DUMMYFUNCTION("IF(ISNUMBER(F55), IF(ISNUMBER(G55), G55 - F55, TODAY() - F55),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""""))"),22.0)</f>
        <v>22</v>
      </c>
      <c r="M55" s="77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80"/>
      <c r="BD55" s="54"/>
    </row>
    <row r="56">
      <c r="A56" s="46" t="s">
        <v>244</v>
      </c>
      <c r="B56" s="47" t="s">
        <v>245</v>
      </c>
      <c r="C56" s="46" t="s">
        <v>205</v>
      </c>
      <c r="D56" s="50">
        <v>46286.0</v>
      </c>
      <c r="E56" s="50">
        <v>46293.0</v>
      </c>
      <c r="F56" s="50">
        <v>46286.0</v>
      </c>
      <c r="G56" s="50">
        <v>46286.0</v>
      </c>
      <c r="H56" s="110"/>
      <c r="I56" s="68">
        <v>1.0</v>
      </c>
      <c r="J56" s="54">
        <f>IFERROR(__xludf.DUMMYFUNCTION("IF(OR(D56="""", E56=""""),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E56 - D56)"),7.0)</f>
        <v>7</v>
      </c>
      <c r="K56" s="55">
        <f>IFERROR(__xludf.DUMMYFUNCTION("IF(ISNUMBER(F56), IF(ISNUMBER(G56), G56 - F56, TODAY() - F56),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""""))"),0.0)</f>
        <v>0</v>
      </c>
      <c r="M56" s="77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80"/>
      <c r="BD56" s="54"/>
    </row>
    <row r="57">
      <c r="A57" s="46" t="s">
        <v>246</v>
      </c>
      <c r="B57" s="47" t="s">
        <v>247</v>
      </c>
      <c r="C57" s="46" t="s">
        <v>205</v>
      </c>
      <c r="D57" s="50">
        <v>46293.0</v>
      </c>
      <c r="E57" s="50">
        <v>46304.0</v>
      </c>
      <c r="F57" s="50">
        <v>46300.0</v>
      </c>
      <c r="G57" s="50">
        <v>46301.0</v>
      </c>
      <c r="H57" s="110"/>
      <c r="I57" s="68">
        <v>1.0</v>
      </c>
      <c r="J57" s="54">
        <f>IFERROR(__xludf.DUMMYFUNCTION("IF(OR(D57="""", E57=""""),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E57 - D57)"),11.0)</f>
        <v>11</v>
      </c>
      <c r="K57" s="55">
        <f>IFERROR(__xludf.DUMMYFUNCTION("IF(ISNUMBER(F57), IF(ISNUMBER(G57), G57 - F57, TODAY() - F57),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""""))"),1.0)</f>
        <v>1</v>
      </c>
      <c r="M57" s="77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80"/>
      <c r="BD57" s="54"/>
    </row>
    <row r="58">
      <c r="A58" s="46" t="s">
        <v>248</v>
      </c>
      <c r="B58" s="47" t="s">
        <v>249</v>
      </c>
      <c r="C58" s="46" t="s">
        <v>205</v>
      </c>
      <c r="D58" s="50">
        <v>46300.0</v>
      </c>
      <c r="E58" s="50">
        <v>46304.0</v>
      </c>
      <c r="F58" s="50">
        <v>46300.0</v>
      </c>
      <c r="G58" s="50">
        <v>46302.0</v>
      </c>
      <c r="H58" s="110"/>
      <c r="I58" s="68">
        <v>1.0</v>
      </c>
      <c r="J58" s="54">
        <f>IFERROR(__xludf.DUMMYFUNCTION("IF(OR(D58="""", E58=""""),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E58 - D58)"),4.0)</f>
        <v>4</v>
      </c>
      <c r="K58" s="55">
        <f>IFERROR(__xludf.DUMMYFUNCTION("IF(ISNUMBER(F58), IF(ISNUMBER(G58), G58 - F58, TODAY() - F58),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""""))"),2.0)</f>
        <v>2</v>
      </c>
      <c r="M58" s="77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80"/>
      <c r="BD58" s="54"/>
    </row>
    <row r="59">
      <c r="A59" s="46" t="s">
        <v>250</v>
      </c>
      <c r="B59" s="47" t="s">
        <v>251</v>
      </c>
      <c r="C59" s="46" t="s">
        <v>205</v>
      </c>
      <c r="D59" s="50">
        <v>46307.0</v>
      </c>
      <c r="E59" s="50">
        <v>46311.0</v>
      </c>
      <c r="F59" s="50">
        <v>46304.0</v>
      </c>
      <c r="G59" s="50">
        <v>46310.0</v>
      </c>
      <c r="H59" s="110"/>
      <c r="I59" s="68">
        <v>1.0</v>
      </c>
      <c r="J59" s="54"/>
      <c r="K59" s="55"/>
      <c r="M59" s="77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80"/>
      <c r="BD59" s="54"/>
    </row>
    <row r="60">
      <c r="A60" s="46" t="s">
        <v>253</v>
      </c>
      <c r="B60" s="47" t="s">
        <v>254</v>
      </c>
      <c r="C60" s="46" t="s">
        <v>157</v>
      </c>
      <c r="D60" s="50">
        <v>46286.0</v>
      </c>
      <c r="E60" s="50">
        <v>46326.0</v>
      </c>
      <c r="F60" s="50">
        <v>46301.0</v>
      </c>
      <c r="G60" s="50">
        <v>46309.0</v>
      </c>
      <c r="H60" s="124"/>
      <c r="I60" s="68">
        <v>1.0</v>
      </c>
      <c r="J60" s="54">
        <f>IFERROR(__xludf.DUMMYFUNCTION("IF(OR(D60="""", E60=""""),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E60 - D60)"),40.0)</f>
        <v>40</v>
      </c>
      <c r="K60" s="55">
        <f>IFERROR(__xludf.DUMMYFUNCTION("IF(ISNUMBER(F60), IF(ISNUMBER(G60), G60 - F60, TODAY() - F60),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""""))"),8.0)</f>
        <v>8</v>
      </c>
      <c r="M60" s="77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80"/>
      <c r="BD60" s="54"/>
    </row>
    <row r="61">
      <c r="A61" s="46">
        <v>4.5</v>
      </c>
      <c r="B61" s="47" t="s">
        <v>255</v>
      </c>
      <c r="C61" s="46" t="s">
        <v>157</v>
      </c>
      <c r="D61" s="50">
        <v>46357.0</v>
      </c>
      <c r="E61" s="50">
        <v>46434.0</v>
      </c>
      <c r="F61" s="50">
        <v>46300.0</v>
      </c>
      <c r="G61" s="50"/>
      <c r="H61" s="124"/>
      <c r="I61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0)"),0.0)</f>
        <v>0</v>
      </c>
      <c r="J61" s="54">
        <f>IFERROR(__xludf.DUMMYFUNCTION("IF(OR(D61="""", E61=""""),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E61 - D61)"),77.0)</f>
        <v>77</v>
      </c>
      <c r="K61" s="55">
        <f>IFERROR(__xludf.DUMMYFUNCTION("IF(ISNUMBER(F61), IF(ISNUMBER(G61), G61 - F61, TODAY() - F61),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""""))"),22.0)</f>
        <v>22</v>
      </c>
      <c r="M61" s="77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80"/>
      <c r="BD61" s="54"/>
    </row>
    <row r="62">
      <c r="A62" s="46" t="s">
        <v>257</v>
      </c>
      <c r="B62" s="47" t="s">
        <v>258</v>
      </c>
      <c r="C62" s="46" t="s">
        <v>157</v>
      </c>
      <c r="D62" s="50">
        <v>46357.0</v>
      </c>
      <c r="E62" s="50">
        <v>46378.0</v>
      </c>
      <c r="F62" s="50"/>
      <c r="G62" s="50"/>
      <c r="H62" s="124"/>
      <c r="I62" s="68">
        <v>0.0</v>
      </c>
      <c r="J62" s="54">
        <f>IFERROR(__xludf.DUMMYFUNCTION("IF(OR(D62="""", E62=""""),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E62 - D62)"),21.0)</f>
        <v>21</v>
      </c>
      <c r="K62" s="55" t="str">
        <f>IFERROR(__xludf.DUMMYFUNCTION("IF(ISNUMBER(F62), IF(ISNUMBER(G62), G62 - F62, TODAY() - F62),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62" s="77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80"/>
      <c r="BD62" s="54"/>
    </row>
    <row r="63">
      <c r="A63" s="46" t="s">
        <v>259</v>
      </c>
      <c r="B63" s="47" t="s">
        <v>260</v>
      </c>
      <c r="C63" s="46" t="s">
        <v>205</v>
      </c>
      <c r="D63" s="50">
        <v>46378.0</v>
      </c>
      <c r="E63" s="50">
        <v>46399.0</v>
      </c>
      <c r="F63" s="50">
        <v>46307.0</v>
      </c>
      <c r="G63" s="50"/>
      <c r="H63" s="124"/>
      <c r="I63" s="68">
        <v>0.0</v>
      </c>
      <c r="J63" s="54">
        <f>IFERROR(__xludf.DUMMYFUNCTION("IF(OR(D63="""", E63=""""),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E63 - D63)"),21.0)</f>
        <v>21</v>
      </c>
      <c r="K63" s="55">
        <f>IFERROR(__xludf.DUMMYFUNCTION("IF(ISNUMBER(F63), IF(ISNUMBER(G63), G63 - F63, TODAY() - F63),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""""))"),15.0)</f>
        <v>15</v>
      </c>
      <c r="M63" s="77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80"/>
      <c r="BD63" s="54"/>
    </row>
    <row r="64">
      <c r="A64" s="46" t="s">
        <v>261</v>
      </c>
      <c r="B64" s="47" t="s">
        <v>262</v>
      </c>
      <c r="C64" s="46" t="s">
        <v>157</v>
      </c>
      <c r="D64" s="50">
        <v>46399.0</v>
      </c>
      <c r="E64" s="50">
        <v>46413.0</v>
      </c>
      <c r="F64" s="50"/>
      <c r="G64" s="50"/>
      <c r="H64" s="124"/>
      <c r="I64" s="68">
        <v>0.0</v>
      </c>
      <c r="J64" s="54">
        <f>IFERROR(__xludf.DUMMYFUNCTION("IF(OR(D64="""", E64=""""),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E64 - D64)"),14.0)</f>
        <v>14</v>
      </c>
      <c r="K64" s="55" t="str">
        <f>IFERROR(__xludf.DUMMYFUNCTION("IF(ISNUMBER(F64), IF(ISNUMBER(G64), G64 - F64, TODAY() - F64),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64" s="77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80"/>
      <c r="BD64" s="54"/>
    </row>
    <row r="65">
      <c r="A65" s="46" t="s">
        <v>264</v>
      </c>
      <c r="B65" s="47" t="s">
        <v>265</v>
      </c>
      <c r="C65" s="46" t="s">
        <v>205</v>
      </c>
      <c r="D65" s="50">
        <v>46413.0</v>
      </c>
      <c r="E65" s="50">
        <v>46422.0</v>
      </c>
      <c r="F65" s="50">
        <v>46307.0</v>
      </c>
      <c r="G65" s="50">
        <v>46325.0</v>
      </c>
      <c r="H65" s="124"/>
      <c r="I65" s="68">
        <v>0.0</v>
      </c>
      <c r="J65" s="54">
        <f>IFERROR(__xludf.DUMMYFUNCTION("IF(OR(D65="""", E65=""""),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E65 - D65)"),9.0)</f>
        <v>9</v>
      </c>
      <c r="K65" s="55">
        <f>IFERROR(__xludf.DUMMYFUNCTION("IF(ISNUMBER(F65), IF(ISNUMBER(G65), G65 - F65, TODAY() - F65),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""""))"),18.0)</f>
        <v>18</v>
      </c>
      <c r="M65" s="77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80"/>
      <c r="BD65" s="54"/>
    </row>
    <row r="66">
      <c r="A66" s="46" t="s">
        <v>266</v>
      </c>
      <c r="B66" s="47" t="s">
        <v>267</v>
      </c>
      <c r="C66" s="46" t="s">
        <v>205</v>
      </c>
      <c r="D66" s="50">
        <v>46422.0</v>
      </c>
      <c r="E66" s="50">
        <v>46429.0</v>
      </c>
      <c r="F66" s="50">
        <v>46307.0</v>
      </c>
      <c r="G66" s="50">
        <v>46325.0</v>
      </c>
      <c r="H66" s="124"/>
      <c r="I66" s="68">
        <v>0.0</v>
      </c>
      <c r="J66" s="54">
        <f>IFERROR(__xludf.DUMMYFUNCTION("IF(OR(D66="""", E66=""""),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E66 - D66)"),7.0)</f>
        <v>7</v>
      </c>
      <c r="K66" s="55">
        <f>IFERROR(__xludf.DUMMYFUNCTION("IF(ISNUMBER(F66), IF(ISNUMBER(G66), G66 - F66, TODAY() - F66),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""""))"),18.0)</f>
        <v>18</v>
      </c>
      <c r="M66" s="77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80"/>
      <c r="BD66" s="54"/>
    </row>
    <row r="67">
      <c r="A67" s="46" t="s">
        <v>268</v>
      </c>
      <c r="B67" s="47" t="s">
        <v>269</v>
      </c>
      <c r="C67" s="46" t="s">
        <v>205</v>
      </c>
      <c r="D67" s="50">
        <v>46429.0</v>
      </c>
      <c r="E67" s="50">
        <v>46434.0</v>
      </c>
      <c r="F67" s="50"/>
      <c r="G67" s="50"/>
      <c r="H67" s="124"/>
      <c r="I67" s="68">
        <v>0.0</v>
      </c>
      <c r="J67" s="54">
        <f>IFERROR(__xludf.DUMMYFUNCTION("IF(OR(D67="""", E67=""""),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E67 - D67)"),5.0)</f>
        <v>5</v>
      </c>
      <c r="K67" s="55" t="str">
        <f>IFERROR(__xludf.DUMMYFUNCTION("IF(ISNUMBER(F67), IF(ISNUMBER(G67), G67 - F67, TODAY() - F67),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67" s="77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80"/>
      <c r="BD67" s="54"/>
    </row>
    <row r="68">
      <c r="A68" s="46">
        <v>4.6</v>
      </c>
      <c r="B68" s="47" t="s">
        <v>271</v>
      </c>
      <c r="C68" s="46" t="s">
        <v>205</v>
      </c>
      <c r="D68" s="50">
        <v>46280.0</v>
      </c>
      <c r="E68" s="50">
        <v>46441.0</v>
      </c>
      <c r="F68" s="50"/>
      <c r="G68" s="50"/>
      <c r="H68" s="124"/>
      <c r="I68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0)"),0.2)</f>
        <v>0.2</v>
      </c>
      <c r="J68" s="54">
        <f>IFERROR(__xludf.DUMMYFUNCTION("IF(OR(D68="""", E68=""""),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E68 - D68)"),161.0)</f>
        <v>161</v>
      </c>
      <c r="K68" s="55">
        <f>IFERROR(__xludf.DUMMYFUNCTION("IF(ISNUMBER(F68), IF(ISNUMBER(G68), G68 - F68, TODAY() - F68),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""""))"),74.0)</f>
        <v>74</v>
      </c>
      <c r="M68" s="77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80"/>
      <c r="BD68" s="54"/>
    </row>
    <row r="69">
      <c r="A69" s="46" t="s">
        <v>272</v>
      </c>
      <c r="B69" s="47" t="s">
        <v>273</v>
      </c>
      <c r="C69" s="46" t="s">
        <v>205</v>
      </c>
      <c r="D69" s="50">
        <v>46280.0</v>
      </c>
      <c r="E69" s="50">
        <v>46434.0</v>
      </c>
      <c r="F69" s="50">
        <v>46248.0</v>
      </c>
      <c r="G69" s="50">
        <v>46252.0</v>
      </c>
      <c r="H69" s="124"/>
      <c r="I69" s="68">
        <v>1.0</v>
      </c>
      <c r="J69" s="54">
        <f>IFERROR(__xludf.DUMMYFUNCTION("IF(OR(D69="""", E69=""""),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E69 - D69)"),154.0)</f>
        <v>154</v>
      </c>
      <c r="K69" s="55">
        <f>IFERROR(__xludf.DUMMYFUNCTION("IF(ISNUMBER(F69), IF(ISNUMBER(G69), G69 - F69, TODAY() - F69),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""""))"),4.0)</f>
        <v>4</v>
      </c>
      <c r="M69" s="77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80"/>
      <c r="BD69" s="54"/>
    </row>
    <row r="70">
      <c r="A70" s="46" t="s">
        <v>275</v>
      </c>
      <c r="B70" s="47" t="s">
        <v>276</v>
      </c>
      <c r="C70" s="46" t="s">
        <v>205</v>
      </c>
      <c r="D70" s="50">
        <v>46280.0</v>
      </c>
      <c r="E70" s="50">
        <v>46434.0</v>
      </c>
      <c r="F70" s="50"/>
      <c r="G70" s="50"/>
      <c r="H70" s="124"/>
      <c r="I70" s="68">
        <v>0.0</v>
      </c>
      <c r="J70" s="54">
        <f>IFERROR(__xludf.DUMMYFUNCTION("IF(OR(D70="""", E70=""""),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E70 - D70)"),154.0)</f>
        <v>154</v>
      </c>
      <c r="K70" s="55" t="str">
        <f>IFERROR(__xludf.DUMMYFUNCTION("IF(ISNUMBER(F70), IF(ISNUMBER(G70), G70 - F70, TODAY() - F70),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70" s="77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80"/>
      <c r="BD70" s="54"/>
    </row>
    <row r="71">
      <c r="A71" s="46" t="s">
        <v>277</v>
      </c>
      <c r="B71" s="47" t="s">
        <v>278</v>
      </c>
      <c r="C71" s="46" t="s">
        <v>205</v>
      </c>
      <c r="D71" s="50">
        <v>46280.0</v>
      </c>
      <c r="E71" s="50">
        <v>46434.0</v>
      </c>
      <c r="F71" s="50"/>
      <c r="G71" s="50"/>
      <c r="H71" s="124"/>
      <c r="I71" s="68">
        <v>0.0</v>
      </c>
      <c r="J71" s="54">
        <f>IFERROR(__xludf.DUMMYFUNCTION("IF(OR(D71="""", E71=""""),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E71 - D71)"),154.0)</f>
        <v>154</v>
      </c>
      <c r="K71" s="55" t="str">
        <f>IFERROR(__xludf.DUMMYFUNCTION("IF(ISNUMBER(F71), IF(ISNUMBER(G71), G71 - F71, TODAY() - F71),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71" s="77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80"/>
      <c r="BD71" s="54"/>
    </row>
    <row r="72">
      <c r="A72" s="46" t="s">
        <v>279</v>
      </c>
      <c r="B72" s="47" t="s">
        <v>280</v>
      </c>
      <c r="C72" s="46" t="s">
        <v>205</v>
      </c>
      <c r="D72" s="50">
        <v>46280.0</v>
      </c>
      <c r="E72" s="50">
        <v>46434.0</v>
      </c>
      <c r="F72" s="50"/>
      <c r="G72" s="50"/>
      <c r="H72" s="124"/>
      <c r="I72" s="68">
        <v>0.0</v>
      </c>
      <c r="J72" s="54">
        <f>IFERROR(__xludf.DUMMYFUNCTION("IF(OR(D72="""", E72=""""),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E72 - D72)"),154.0)</f>
        <v>154</v>
      </c>
      <c r="K72" s="55" t="str">
        <f>IFERROR(__xludf.DUMMYFUNCTION("IF(ISNUMBER(F72), IF(ISNUMBER(G72), G72 - F72, TODAY() - F72),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72" s="77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80"/>
      <c r="BD72" s="54"/>
    </row>
    <row r="73">
      <c r="A73" s="46" t="s">
        <v>282</v>
      </c>
      <c r="B73" s="47" t="s">
        <v>283</v>
      </c>
      <c r="C73" s="46" t="s">
        <v>205</v>
      </c>
      <c r="D73" s="50">
        <v>46434.0</v>
      </c>
      <c r="E73" s="50">
        <v>46441.0</v>
      </c>
      <c r="F73" s="50"/>
      <c r="G73" s="50"/>
      <c r="H73" s="124"/>
      <c r="I73" s="68">
        <v>0.0</v>
      </c>
      <c r="J73" s="54">
        <f>IFERROR(__xludf.DUMMYFUNCTION("IF(OR(D73="""", E73=""""),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E73 - D73)"),7.0)</f>
        <v>7</v>
      </c>
      <c r="K73" s="55" t="str">
        <f>IFERROR(__xludf.DUMMYFUNCTION("IF(ISNUMBER(F73), IF(ISNUMBER(G73), G73 - F73, TODAY() - F73),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73" s="77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80"/>
      <c r="BD73" s="54"/>
    </row>
    <row r="74">
      <c r="A74" s="46">
        <v>5.0</v>
      </c>
      <c r="B74" s="47" t="s">
        <v>284</v>
      </c>
      <c r="C74" s="46"/>
      <c r="D74" s="50">
        <v>46441.0</v>
      </c>
      <c r="E74" s="50">
        <v>46476.0</v>
      </c>
      <c r="F74" s="50"/>
      <c r="G74" s="50"/>
      <c r="H74" s="124"/>
      <c r="I74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0)"),0.0)</f>
        <v>0</v>
      </c>
      <c r="J74" s="54">
        <f>IFERROR(__xludf.DUMMYFUNCTION("IF(OR(D74="""", E74=""""),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E74 - D74)"),35.0)</f>
        <v>35</v>
      </c>
      <c r="K74" s="55" t="str">
        <f>IFERROR(__xludf.DUMMYFUNCTION("IF(ISNUMBER(F74), IF(ISNUMBER(G74), G74 - F74, TODAY() - F74),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74" s="77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80"/>
      <c r="BD74" s="54"/>
    </row>
    <row r="75">
      <c r="A75" s="46">
        <v>5.1</v>
      </c>
      <c r="B75" s="47" t="s">
        <v>286</v>
      </c>
      <c r="C75" s="46"/>
      <c r="D75" s="50">
        <v>46441.0</v>
      </c>
      <c r="E75" s="50">
        <v>46455.0</v>
      </c>
      <c r="F75" s="50"/>
      <c r="G75" s="50"/>
      <c r="H75" s="124"/>
      <c r="I75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0)"),0.0)</f>
        <v>0</v>
      </c>
      <c r="J75" s="54">
        <f>IFERROR(__xludf.DUMMYFUNCTION("IF(OR(D75="""", E75=""""),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E75 - D75)"),14.0)</f>
        <v>14</v>
      </c>
      <c r="K75" s="55" t="str">
        <f>IFERROR(__xludf.DUMMYFUNCTION("IF(ISNUMBER(F75), IF(ISNUMBER(G75), G75 - F75, TODAY() - F75),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75" s="77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80"/>
      <c r="BD75" s="54"/>
    </row>
    <row r="76">
      <c r="A76" s="46" t="s">
        <v>288</v>
      </c>
      <c r="B76" s="47" t="s">
        <v>289</v>
      </c>
      <c r="C76" s="46"/>
      <c r="D76" s="50">
        <v>46441.0</v>
      </c>
      <c r="E76" s="50">
        <v>46444.0</v>
      </c>
      <c r="F76" s="50"/>
      <c r="G76" s="50"/>
      <c r="H76" s="124"/>
      <c r="I76" s="68">
        <v>0.0</v>
      </c>
      <c r="J76" s="54">
        <f>IFERROR(__xludf.DUMMYFUNCTION("IF(OR(D76="""", E76=""""),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E76 - D76)"),3.0)</f>
        <v>3</v>
      </c>
      <c r="K76" s="55" t="str">
        <f>IFERROR(__xludf.DUMMYFUNCTION("IF(ISNUMBER(F76), IF(ISNUMBER(G76), G76 - F76, TODAY() - F76),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76" s="77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80"/>
      <c r="BD76" s="54"/>
    </row>
    <row r="77">
      <c r="A77" s="46" t="s">
        <v>290</v>
      </c>
      <c r="B77" s="47" t="s">
        <v>291</v>
      </c>
      <c r="C77" s="46"/>
      <c r="D77" s="50">
        <v>46444.0</v>
      </c>
      <c r="E77" s="50">
        <v>46451.0</v>
      </c>
      <c r="F77" s="50"/>
      <c r="G77" s="50"/>
      <c r="H77" s="124"/>
      <c r="I77" s="68">
        <v>0.0</v>
      </c>
      <c r="J77" s="54">
        <f>IFERROR(__xludf.DUMMYFUNCTION("IF(OR(D77="""", E77=""""),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E77 - D77)"),7.0)</f>
        <v>7</v>
      </c>
      <c r="K77" s="55" t="str">
        <f>IFERROR(__xludf.DUMMYFUNCTION("IF(ISNUMBER(F77), IF(ISNUMBER(G77), G77 - F77, TODAY() - F77),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77" s="77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80"/>
      <c r="BD77" s="54"/>
    </row>
    <row r="78">
      <c r="A78" s="46" t="s">
        <v>293</v>
      </c>
      <c r="B78" s="47" t="s">
        <v>294</v>
      </c>
      <c r="C78" s="46"/>
      <c r="D78" s="50">
        <v>46448.0</v>
      </c>
      <c r="E78" s="50">
        <v>46451.0</v>
      </c>
      <c r="F78" s="50"/>
      <c r="G78" s="50"/>
      <c r="H78" s="124"/>
      <c r="I78" s="68">
        <v>0.0</v>
      </c>
      <c r="J78" s="54">
        <f>IFERROR(__xludf.DUMMYFUNCTION("IF(OR(D78="""", E78=""""),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E78 - D78)"),3.0)</f>
        <v>3</v>
      </c>
      <c r="K78" s="55" t="str">
        <f>IFERROR(__xludf.DUMMYFUNCTION("IF(ISNUMBER(F78), IF(ISNUMBER(G78), G78 - F78, TODAY() - F78),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78" s="77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80"/>
      <c r="BD78" s="54"/>
    </row>
    <row r="79">
      <c r="A79" s="46" t="s">
        <v>296</v>
      </c>
      <c r="B79" s="47" t="s">
        <v>297</v>
      </c>
      <c r="C79" s="46"/>
      <c r="D79" s="50">
        <v>46451.0</v>
      </c>
      <c r="E79" s="50">
        <v>46455.0</v>
      </c>
      <c r="F79" s="50"/>
      <c r="G79" s="50"/>
      <c r="H79" s="124"/>
      <c r="I79" s="68">
        <v>0.0</v>
      </c>
      <c r="J79" s="54">
        <f>IFERROR(__xludf.DUMMYFUNCTION("IF(OR(D79="""", E79=""""),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E79 - D79)"),4.0)</f>
        <v>4</v>
      </c>
      <c r="K79" s="55" t="str">
        <f>IFERROR(__xludf.DUMMYFUNCTION("IF(ISNUMBER(F79), IF(ISNUMBER(G79), G79 - F79, TODAY() - F79),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79" s="77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80"/>
      <c r="BD79" s="54"/>
    </row>
    <row r="80">
      <c r="A80" s="46">
        <v>5.2</v>
      </c>
      <c r="B80" s="47" t="s">
        <v>299</v>
      </c>
      <c r="C80" s="46"/>
      <c r="D80" s="50">
        <v>46455.0</v>
      </c>
      <c r="E80" s="50">
        <v>46469.0</v>
      </c>
      <c r="F80" s="50"/>
      <c r="G80" s="50"/>
      <c r="H80" s="124"/>
      <c r="I80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0)"),0.0)</f>
        <v>0</v>
      </c>
      <c r="J80" s="54">
        <f>IFERROR(__xludf.DUMMYFUNCTION("IF(OR(D80="""", E80=""""),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E80 - D80)"),14.0)</f>
        <v>14</v>
      </c>
      <c r="K80" s="55" t="str">
        <f>IFERROR(__xludf.DUMMYFUNCTION("IF(ISNUMBER(F80), IF(ISNUMBER(G80), G80 - F80, TODAY() - F80),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80" s="77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80"/>
      <c r="BD80" s="54"/>
    </row>
    <row r="81">
      <c r="A81" s="46" t="s">
        <v>301</v>
      </c>
      <c r="B81" s="47" t="s">
        <v>302</v>
      </c>
      <c r="C81" s="46"/>
      <c r="D81" s="50">
        <v>46455.0</v>
      </c>
      <c r="E81" s="50">
        <v>46455.0</v>
      </c>
      <c r="F81" s="50"/>
      <c r="G81" s="50"/>
      <c r="H81" s="124"/>
      <c r="I81" s="68">
        <v>0.0</v>
      </c>
      <c r="J81" s="54">
        <f>IFERROR(__xludf.DUMMYFUNCTION("IF(OR(D81="""", E81=""""),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E81 - D81)"),0.0)</f>
        <v>0</v>
      </c>
      <c r="K81" s="55" t="str">
        <f>IFERROR(__xludf.DUMMYFUNCTION("IF(ISNUMBER(F81), IF(ISNUMBER(G81), G81 - F81, TODAY() - F81),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81" s="77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80"/>
      <c r="BD81" s="54"/>
    </row>
    <row r="82">
      <c r="A82" s="46" t="s">
        <v>304</v>
      </c>
      <c r="B82" s="47" t="s">
        <v>305</v>
      </c>
      <c r="C82" s="46"/>
      <c r="D82" s="50">
        <v>46455.0</v>
      </c>
      <c r="E82" s="50">
        <v>46457.0</v>
      </c>
      <c r="F82" s="50"/>
      <c r="G82" s="50"/>
      <c r="H82" s="124"/>
      <c r="I82" s="68">
        <v>0.0</v>
      </c>
      <c r="J82" s="54">
        <f>IFERROR(__xludf.DUMMYFUNCTION("IF(OR(D82="""", E82=""""),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E82 - D82)"),2.0)</f>
        <v>2</v>
      </c>
      <c r="K82" s="55" t="str">
        <f>IFERROR(__xludf.DUMMYFUNCTION("IF(ISNUMBER(F82), IF(ISNUMBER(G82), G82 - F82, TODAY() - F82),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82" s="77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80"/>
      <c r="BD82" s="54"/>
    </row>
    <row r="83">
      <c r="A83" s="46" t="s">
        <v>306</v>
      </c>
      <c r="B83" s="47" t="s">
        <v>307</v>
      </c>
      <c r="C83" s="46"/>
      <c r="D83" s="50">
        <v>46457.0</v>
      </c>
      <c r="E83" s="50">
        <v>46458.0</v>
      </c>
      <c r="F83" s="50"/>
      <c r="G83" s="50"/>
      <c r="H83" s="124"/>
      <c r="I83" s="68">
        <v>0.0</v>
      </c>
      <c r="J83" s="54">
        <f>IFERROR(__xludf.DUMMYFUNCTION("IF(OR(D83="""", E83=""""),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E83 - D83)"),1.0)</f>
        <v>1</v>
      </c>
      <c r="K83" s="55" t="str">
        <f>IFERROR(__xludf.DUMMYFUNCTION("IF(ISNUMBER(F83), IF(ISNUMBER(G83), G83 - F83, TODAY() - F83),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83" s="77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80"/>
      <c r="BD83" s="54"/>
    </row>
    <row r="84">
      <c r="A84" s="46" t="s">
        <v>311</v>
      </c>
      <c r="B84" s="47" t="s">
        <v>312</v>
      </c>
      <c r="C84" s="46"/>
      <c r="D84" s="50">
        <v>46458.0</v>
      </c>
      <c r="E84" s="50">
        <v>46462.0</v>
      </c>
      <c r="F84" s="50"/>
      <c r="G84" s="50"/>
      <c r="H84" s="124"/>
      <c r="I84" s="68">
        <v>0.0</v>
      </c>
      <c r="J84" s="54">
        <f>IFERROR(__xludf.DUMMYFUNCTION("IF(OR(D84="""", E84=""""),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E84 - D84)"),4.0)</f>
        <v>4</v>
      </c>
      <c r="K84" s="55" t="str">
        <f>IFERROR(__xludf.DUMMYFUNCTION("IF(ISNUMBER(F84), IF(ISNUMBER(G84), G84 - F84, TODAY() - F84),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84" s="77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80"/>
      <c r="BD84" s="54"/>
    </row>
    <row r="85">
      <c r="A85" s="46" t="s">
        <v>313</v>
      </c>
      <c r="B85" s="47" t="s">
        <v>314</v>
      </c>
      <c r="C85" s="46"/>
      <c r="D85" s="50">
        <v>46462.0</v>
      </c>
      <c r="E85" s="50">
        <v>46469.0</v>
      </c>
      <c r="F85" s="50"/>
      <c r="G85" s="50"/>
      <c r="H85" s="124"/>
      <c r="I85" s="68">
        <v>0.0</v>
      </c>
      <c r="J85" s="54">
        <f>IFERROR(__xludf.DUMMYFUNCTION("IF(OR(D85="""", E85=""""),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E85 - D85)"),7.0)</f>
        <v>7</v>
      </c>
      <c r="K85" s="55" t="str">
        <f>IFERROR(__xludf.DUMMYFUNCTION("IF(ISNUMBER(F85), IF(ISNUMBER(G85), G85 - F85, TODAY() - F85),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85" s="77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80"/>
      <c r="BD85" s="54"/>
    </row>
    <row r="86">
      <c r="A86" s="46">
        <v>5.3</v>
      </c>
      <c r="B86" s="47" t="s">
        <v>316</v>
      </c>
      <c r="C86" s="46"/>
      <c r="D86" s="50">
        <v>46469.0</v>
      </c>
      <c r="E86" s="50">
        <v>46476.0</v>
      </c>
      <c r="F86" s="50"/>
      <c r="G86" s="50"/>
      <c r="H86" s="124"/>
      <c r="I86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0)"),0.0)</f>
        <v>0</v>
      </c>
      <c r="J86" s="54">
        <f>IFERROR(__xludf.DUMMYFUNCTION("IF(OR(D86="""", E86=""""),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E86 - D86)"),7.0)</f>
        <v>7</v>
      </c>
      <c r="K86" s="55" t="str">
        <f>IFERROR(__xludf.DUMMYFUNCTION("IF(ISNUMBER(F86), IF(ISNUMBER(G86), G86 - F86, TODAY() - F86),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86" s="77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80"/>
      <c r="BD86" s="54"/>
    </row>
    <row r="87">
      <c r="A87" s="46" t="s">
        <v>317</v>
      </c>
      <c r="B87" s="47" t="s">
        <v>318</v>
      </c>
      <c r="C87" s="46"/>
      <c r="D87" s="50">
        <v>46469.0</v>
      </c>
      <c r="E87" s="50">
        <v>46472.0</v>
      </c>
      <c r="F87" s="50"/>
      <c r="G87" s="50"/>
      <c r="H87" s="124"/>
      <c r="I87" s="68">
        <v>0.0</v>
      </c>
      <c r="J87" s="54">
        <f>IFERROR(__xludf.DUMMYFUNCTION("IF(OR(D87="""", E87=""""),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E87 - D87)"),3.0)</f>
        <v>3</v>
      </c>
      <c r="K87" s="55" t="str">
        <f>IFERROR(__xludf.DUMMYFUNCTION("IF(ISNUMBER(F87), IF(ISNUMBER(G87), G87 - F87, TODAY() - F87),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87" s="77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80"/>
      <c r="BD87" s="54"/>
    </row>
    <row r="88">
      <c r="A88" s="46" t="s">
        <v>321</v>
      </c>
      <c r="B88" s="47" t="s">
        <v>322</v>
      </c>
      <c r="C88" s="46"/>
      <c r="D88" s="50">
        <v>46472.0</v>
      </c>
      <c r="E88" s="50">
        <v>46476.0</v>
      </c>
      <c r="F88" s="50"/>
      <c r="G88" s="50"/>
      <c r="H88" s="124"/>
      <c r="I88" s="68">
        <v>0.0</v>
      </c>
      <c r="J88" s="54">
        <f>IFERROR(__xludf.DUMMYFUNCTION("IF(OR(D88="""", E88=""""),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E88 - D88)"),4.0)</f>
        <v>4</v>
      </c>
      <c r="K88" s="55" t="str">
        <f>IFERROR(__xludf.DUMMYFUNCTION("IF(ISNUMBER(F88), IF(ISNUMBER(G88), G88 - F88, TODAY() - F88),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88" s="77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80"/>
      <c r="BD88" s="54"/>
    </row>
    <row r="89">
      <c r="A89" s="135"/>
      <c r="B89" s="136"/>
      <c r="C89" s="137"/>
      <c r="D89" s="138"/>
      <c r="E89" s="138"/>
      <c r="F89" s="139"/>
      <c r="G89" s="139"/>
      <c r="H89" s="54"/>
      <c r="I89" s="68"/>
      <c r="J89" s="54"/>
      <c r="K89" s="55"/>
      <c r="M89" s="77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80"/>
      <c r="BD89" s="54"/>
    </row>
    <row r="90">
      <c r="A90" s="135"/>
      <c r="B90" s="136"/>
      <c r="C90" s="137"/>
      <c r="D90" s="138"/>
      <c r="E90" s="138"/>
      <c r="F90" s="139"/>
      <c r="G90" s="139"/>
      <c r="H90" s="54"/>
      <c r="I90" s="68"/>
      <c r="J90" s="54"/>
      <c r="K90" s="55"/>
      <c r="M90" s="77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80"/>
      <c r="BD90" s="54"/>
    </row>
    <row r="91">
      <c r="A91" s="135"/>
      <c r="B91" s="136"/>
      <c r="C91" s="137"/>
      <c r="D91" s="138"/>
      <c r="E91" s="138"/>
      <c r="F91" s="139"/>
      <c r="G91" s="139"/>
      <c r="H91" s="54"/>
      <c r="I91" s="68"/>
      <c r="J91" s="54"/>
      <c r="K91" s="55"/>
      <c r="M91" s="77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80"/>
      <c r="BD91" s="54"/>
    </row>
    <row r="92">
      <c r="A92" s="135"/>
      <c r="B92" s="136"/>
      <c r="C92" s="137"/>
      <c r="D92" s="138"/>
      <c r="E92" s="138"/>
      <c r="F92" s="139"/>
      <c r="G92" s="139"/>
      <c r="H92" s="54"/>
      <c r="I92" s="68"/>
      <c r="J92" s="54"/>
      <c r="K92" s="55"/>
      <c r="M92" s="77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80"/>
      <c r="BD92" s="54"/>
    </row>
    <row r="93">
      <c r="A93" s="135"/>
      <c r="B93" s="136"/>
      <c r="C93" s="137"/>
      <c r="D93" s="138"/>
      <c r="E93" s="138"/>
      <c r="F93" s="139"/>
      <c r="G93" s="139"/>
      <c r="H93" s="54"/>
      <c r="I93" s="140"/>
      <c r="J93" s="54"/>
      <c r="K93" s="55"/>
      <c r="M93" s="141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  <c r="AK93" s="142"/>
      <c r="AL93" s="142"/>
      <c r="AM93" s="142"/>
      <c r="AN93" s="142"/>
      <c r="AO93" s="142"/>
      <c r="AP93" s="142"/>
      <c r="AQ93" s="142"/>
      <c r="AR93" s="142"/>
      <c r="AS93" s="142"/>
      <c r="AT93" s="142"/>
      <c r="AU93" s="142"/>
      <c r="AV93" s="142"/>
      <c r="AW93" s="142"/>
      <c r="AX93" s="142"/>
      <c r="AY93" s="142"/>
      <c r="AZ93" s="142"/>
      <c r="BA93" s="142"/>
      <c r="BB93" s="142"/>
      <c r="BC93" s="143"/>
      <c r="BD93" s="54"/>
    </row>
  </sheetData>
  <mergeCells count="1">
    <mergeCell ref="D3:I3"/>
  </mergeCells>
  <conditionalFormatting sqref="K9:K88">
    <cfRule type="expression" dxfId="5" priority="1">
      <formula>AND(ISNUMBER($E11), OR(AND(NOT(ISNUMBER($G11)), $E11&lt;TODAY()), AND(ISNUMBER($G11), $G11&gt;$E11)))</formula>
    </cfRule>
  </conditionalFormatting>
  <conditionalFormatting sqref="E9:E93 F57:G60 F63 F65:G66">
    <cfRule type="expression" dxfId="5" priority="2">
      <formula>AND(ISNUMBER($E9), OR(AND(NOT(ISNUMBER($G9)), $E9&lt;TODAY()), AND(ISNUMBER($G9), $G9&gt;$E9)))</formula>
    </cfRule>
  </conditionalFormatting>
  <conditionalFormatting sqref="I9:I93">
    <cfRule type="expression" dxfId="6" priority="3">
      <formula>AND(LEN(TRIM(TO_TEXT($A9)))-LEN(SUBSTITUTE(TRIM(TO_TEXT($A9)),".",""))=2, $I9&gt;=1)</formula>
    </cfRule>
  </conditionalFormatting>
  <conditionalFormatting sqref="I9:I93">
    <cfRule type="expression" dxfId="7" priority="4">
      <formula>AND(LEN(TRIM(TO_TEXT($A9)))-LEN(SUBSTITUTE(TRIM(TO_TEXT($A9)),".",""))=2, $I9&gt;0, $I9&lt;1)</formula>
    </cfRule>
  </conditionalFormatting>
  <conditionalFormatting sqref="I9:I93">
    <cfRule type="expression" dxfId="8" priority="5">
      <formula>AND(LEN(TRIM(TO_TEXT($A9)))-LEN(SUBSTITUTE(TRIM(TO_TEXT($A9)),".",""))=2, ISNUMBER($I9), $I9=0)</formula>
    </cfRule>
  </conditionalFormatting>
  <conditionalFormatting sqref="A9:K93">
    <cfRule type="expression" dxfId="9" priority="6">
      <formula>LEN(TO_TEXT($A9)) - LEN(SUBSTITUTE(TO_TEXT($A9), ".", "")) = 2</formula>
    </cfRule>
  </conditionalFormatting>
  <conditionalFormatting sqref="A9:K93">
    <cfRule type="expression" dxfId="10" priority="7">
      <formula>AND(LEN(TO_TEXT($A9)) - LEN(SUBSTITUTE(TO_TEXT($A9), ".", "")) = 0, OR($A9=3, $A9="3"))</formula>
    </cfRule>
  </conditionalFormatting>
  <conditionalFormatting sqref="A9:K93">
    <cfRule type="expression" dxfId="11" priority="8">
      <formula>AND(LEN(TO_TEXT($A9)) - LEN(SUBSTITUTE(TO_TEXT($A9), ".", "")) = 0, OR($A9=2, $A9="2"))</formula>
    </cfRule>
  </conditionalFormatting>
  <conditionalFormatting sqref="A9:K93">
    <cfRule type="expression" dxfId="12" priority="9">
      <formula>AND(LEN(TO_TEXT($A9)) - LEN(SUBSTITUTE(TO_TEXT($A9), ".", "")) = 0, OR($A9=5, $A9="5"))</formula>
    </cfRule>
  </conditionalFormatting>
  <conditionalFormatting sqref="A9:K93">
    <cfRule type="expression" dxfId="13" priority="10">
      <formula>AND(LEN(TO_TEXT($A9)) - LEN(SUBSTITUTE(TO_TEXT($A9), ".", "")) = 0, OR($A9=4, $A9="4"))</formula>
    </cfRule>
  </conditionalFormatting>
  <conditionalFormatting sqref="A9:K93">
    <cfRule type="expression" dxfId="14" priority="11">
      <formula>AND(LEN(TO_TEXT($A9)) - LEN(SUBSTITUTE(TO_TEXT($A9), ".", "")) = 0, OR($A9=1, $A9="1"))</formula>
    </cfRule>
  </conditionalFormatting>
  <conditionalFormatting sqref="A9:K93">
    <cfRule type="expression" dxfId="15" priority="12">
      <formula>AND(LEFT(TRIM(TO_TEXT($A9)), 2)="1.", LEN(TRIM(TO_TEXT($A9))) - LEN(SUBSTITUTE(TRIM(TO_TEXT($A9)), ".", "")) = 1)</formula>
    </cfRule>
  </conditionalFormatting>
  <conditionalFormatting sqref="A9:K93">
    <cfRule type="expression" dxfId="16" priority="13">
      <formula>AND(LEFT(TRIM(TO_TEXT($A9)), 2)="5.", LEN(TRIM(TO_TEXT($A9))) - LEN(SUBSTITUTE(TRIM(TO_TEXT($A9)), ".", "")) = 1)</formula>
    </cfRule>
  </conditionalFormatting>
  <conditionalFormatting sqref="A9:K93">
    <cfRule type="expression" dxfId="17" priority="14">
      <formula>AND(LEFT(TRIM(TO_TEXT($A9)), 2)="4.", LEN(TRIM(TO_TEXT($A9))) - LEN(SUBSTITUTE(TRIM(TO_TEXT($A9)), ".", "")) = 1)</formula>
    </cfRule>
  </conditionalFormatting>
  <conditionalFormatting sqref="A9:K93">
    <cfRule type="expression" dxfId="18" priority="15">
      <formula>AND(LEFT(TRIM(TO_TEXT($A9)), 2)="3.", LEN(TRIM(TO_TEXT($A9))) - LEN(SUBSTITUTE(TRIM(TO_TEXT($A9)), ".", "")) = 1)</formula>
    </cfRule>
  </conditionalFormatting>
  <conditionalFormatting sqref="A9:K93">
    <cfRule type="expression" dxfId="19" priority="16">
      <formula>AND(LEFT(TRIM(TO_TEXT($A9)), 2)="2.", LEN(TRIM(TO_TEXT($A9))) - LEN(SUBSTITUTE(TRIM(TO_TEXT($A9)), ".", "")) = 1)</formula>
    </cfRule>
  </conditionalFormatting>
  <conditionalFormatting sqref="M8:BC8">
    <cfRule type="expression" dxfId="20" priority="17">
      <formula>AND(TODAY()&gt;=M8, TODAY()&lt;M8+7)</formula>
    </cfRule>
  </conditionalFormatting>
  <conditionalFormatting sqref="M9:BC93">
    <cfRule type="expression" dxfId="21" priority="18">
      <formula>AND(M$8&gt;=$D9, M$8&lt;=$E9, ISNUMBER(SEARCH("Proveedor", $C9)), ISNUMBER(FIND(".", $A9)))</formula>
    </cfRule>
  </conditionalFormatting>
  <conditionalFormatting sqref="M9:BC93">
    <cfRule type="expression" dxfId="22" priority="19">
      <formula>AND(M$8&gt;=$D9, M$8&lt;=$E9, ISNUMBER(FIND(".", $A9)))</formula>
    </cfRule>
  </conditionalFormatting>
  <conditionalFormatting sqref="M8:BC93">
    <cfRule type="expression" dxfId="23" priority="20">
      <formula>AND(TODAY()&gt;=M$8, TODAY()&lt;M$8+7)</formula>
    </cfRule>
  </conditionalFormatting>
  <conditionalFormatting sqref="M9:BC93">
    <cfRule type="expression" dxfId="24" priority="21">
      <formula>AND($A9&amp;""="1", M$8&gt;=$D9, M$8&lt;=$E9)</formula>
    </cfRule>
  </conditionalFormatting>
  <conditionalFormatting sqref="M9:BC93">
    <cfRule type="expression" dxfId="25" priority="22">
      <formula>AND($A9&amp;""="2", M$8&gt;=$D9, M$8&lt;=$E9)</formula>
    </cfRule>
  </conditionalFormatting>
  <conditionalFormatting sqref="M9:BC93">
    <cfRule type="expression" dxfId="26" priority="23">
      <formula>AND($A9&amp;""="3", M$8&gt;=$D9, M$8&lt;=$E9)</formula>
    </cfRule>
  </conditionalFormatting>
  <conditionalFormatting sqref="M9:BC93">
    <cfRule type="expression" dxfId="27" priority="24">
      <formula>AND($A9&amp;""="4", M$8&gt;=$D9, M$8&lt;=$E9)</formula>
    </cfRule>
  </conditionalFormatting>
  <conditionalFormatting sqref="M9:BC93">
    <cfRule type="expression" dxfId="28" priority="25">
      <formula>AND($A9&amp;""="5", M$8&gt;=$D9, M$8&lt;=$E9)</formula>
    </cfRule>
  </conditionalFormatting>
  <conditionalFormatting sqref="M9:BC93">
    <cfRule type="expression" dxfId="15" priority="26">
      <formula>AND(LEFT($A9&amp;"", 1)="1", M$8&gt;=VLOOKUP(1, $A:$E, 4, FALSE), M$8&lt;=VLOOKUP(1, $A:$E, 5, FALSE))</formula>
    </cfRule>
  </conditionalFormatting>
  <conditionalFormatting sqref="M9:BC93">
    <cfRule type="expression" dxfId="29" priority="27">
      <formula>AND(LEFT($A9&amp;"", 1)="2", M$8&gt;=VLOOKUP(2, $A:$E, 4, FALSE), M$8&lt;=VLOOKUP(2, $A:$E, 5, FALSE))</formula>
    </cfRule>
  </conditionalFormatting>
  <conditionalFormatting sqref="M9:BC93">
    <cfRule type="expression" dxfId="30" priority="28">
      <formula>AND(LEFT($A9&amp;"", 1)="3", M$8&gt;=VLOOKUP(3, $A:$E, 4, FALSE), M$8&lt;=VLOOKUP(3, $A:$E, 5, FALSE))</formula>
    </cfRule>
  </conditionalFormatting>
  <conditionalFormatting sqref="M9:BC93">
    <cfRule type="expression" dxfId="31" priority="29">
      <formula>AND(LEFT($A9&amp;"", 1)="4", M$8&gt;=VLOOKUP(4, $A:$E, 4, FALSE), M$8&lt;=VLOOKUP(4, $A:$E, 5, FALSE))</formula>
    </cfRule>
  </conditionalFormatting>
  <conditionalFormatting sqref="M9:BC93">
    <cfRule type="expression" dxfId="32" priority="30">
      <formula>AND(LEFT($A9&amp;"", 1)="5", M$8&gt;=VLOOKUP(5, $A:$E, 4, FALSE), M$8&lt;=VLOOKUP(5, $A:$E, 5, FALSE))</formula>
    </cfRule>
  </conditionalFormatting>
  <hyperlinks>
    <hyperlink r:id="rId1" ref="B5"/>
    <hyperlink r:id="rId2" ref="C9"/>
    <hyperlink r:id="rId3" ref="C10"/>
    <hyperlink r:id="rId4" ref="C11"/>
    <hyperlink r:id="rId5" ref="C12"/>
    <hyperlink r:id="rId6" ref="C13"/>
    <hyperlink r:id="rId7" ref="C14"/>
    <hyperlink r:id="rId8" ref="C16"/>
    <hyperlink r:id="rId9" ref="C17"/>
    <hyperlink r:id="rId10" ref="C18"/>
    <hyperlink r:id="rId11" ref="C19"/>
    <hyperlink r:id="rId12" ref="C20"/>
    <hyperlink r:id="rId13" ref="C21"/>
    <hyperlink r:id="rId14" ref="C22"/>
    <hyperlink r:id="rId15" ref="C23"/>
    <hyperlink r:id="rId16" ref="C24"/>
    <hyperlink r:id="rId17" ref="C25"/>
    <hyperlink r:id="rId18" ref="C26"/>
    <hyperlink r:id="rId19" ref="C27"/>
    <hyperlink r:id="rId20" ref="C28"/>
    <hyperlink r:id="rId21" ref="C29"/>
    <hyperlink r:id="rId22" ref="C30"/>
    <hyperlink r:id="rId23" ref="C31"/>
    <hyperlink r:id="rId24" ref="C32"/>
    <hyperlink r:id="rId25" ref="C33"/>
    <hyperlink r:id="rId26" ref="C34"/>
    <hyperlink r:id="rId27" ref="C35"/>
    <hyperlink r:id="rId28" ref="C36"/>
    <hyperlink r:id="rId29" ref="C37"/>
    <hyperlink r:id="rId30" ref="C38"/>
    <hyperlink r:id="rId31" ref="C39"/>
    <hyperlink r:id="rId32" ref="C40"/>
    <hyperlink r:id="rId33" ref="C41"/>
    <hyperlink r:id="rId34" ref="C42"/>
    <hyperlink r:id="rId35" ref="C43"/>
    <hyperlink r:id="rId36" ref="C44"/>
    <hyperlink r:id="rId37" ref="C45"/>
    <hyperlink r:id="rId38" ref="C46"/>
  </hyperlinks>
  <drawing r:id="rId39"/>
  <tableParts count="1"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63"/>
    <col customWidth="1" min="2" max="2" width="48.38"/>
    <col customWidth="1" min="3" max="3" width="25.88"/>
    <col customWidth="1" min="5" max="5" width="10.5"/>
    <col customWidth="1" min="7" max="7" width="12.75"/>
    <col customWidth="1" min="8" max="8" width="40.0"/>
    <col customWidth="1" min="9" max="9" width="14.5"/>
    <col customWidth="1" min="12" max="26" width="11.63"/>
    <col customWidth="1" min="27" max="29" width="5.63"/>
    <col customWidth="1" min="30" max="30" width="18.63"/>
    <col customWidth="1" min="31" max="42" width="5.63"/>
  </cols>
  <sheetData>
    <row r="1">
      <c r="A1" s="1"/>
      <c r="B1" s="2"/>
      <c r="C1" s="2"/>
      <c r="D1" s="3" t="s">
        <v>0</v>
      </c>
      <c r="E1" s="2"/>
      <c r="F1" s="4"/>
      <c r="G1" s="4"/>
      <c r="H1" s="5"/>
      <c r="I1" s="6"/>
      <c r="J1" s="5"/>
      <c r="K1" s="5"/>
    </row>
    <row r="2">
      <c r="A2" s="8" t="s">
        <v>2</v>
      </c>
      <c r="B2" s="8"/>
      <c r="C2" s="8"/>
      <c r="D2" s="8"/>
      <c r="E2" s="8"/>
      <c r="F2" s="8"/>
      <c r="G2" s="8"/>
      <c r="H2" s="8"/>
      <c r="I2" s="8"/>
      <c r="J2" s="9"/>
      <c r="K2" s="9"/>
    </row>
    <row r="3">
      <c r="A3" s="11" t="s">
        <v>3</v>
      </c>
      <c r="B3" s="13" t="s">
        <v>6</v>
      </c>
      <c r="C3" s="9"/>
      <c r="D3" s="14"/>
      <c r="J3" s="9"/>
      <c r="K3" s="9"/>
    </row>
    <row r="4">
      <c r="A4" s="11" t="s">
        <v>12</v>
      </c>
      <c r="B4" s="17">
        <v>46157.0</v>
      </c>
      <c r="C4" s="9"/>
      <c r="D4" s="19"/>
      <c r="E4" s="9"/>
      <c r="F4" s="9"/>
      <c r="G4" s="9"/>
      <c r="H4" s="9"/>
      <c r="I4" s="21"/>
      <c r="J4" s="9"/>
      <c r="K4" s="9"/>
    </row>
    <row r="5">
      <c r="A5" s="11" t="s">
        <v>22</v>
      </c>
      <c r="B5" s="24" t="s">
        <v>24</v>
      </c>
      <c r="C5" s="9"/>
      <c r="D5" s="19"/>
      <c r="E5" s="9"/>
      <c r="F5" s="9"/>
      <c r="G5" s="25"/>
      <c r="H5" s="9"/>
      <c r="I5" s="21"/>
      <c r="J5" s="9"/>
      <c r="K5" s="9"/>
    </row>
    <row r="6">
      <c r="A6" s="26"/>
      <c r="B6" s="9"/>
      <c r="C6" s="9"/>
      <c r="D6" s="19"/>
      <c r="E6" s="9"/>
      <c r="F6" s="9"/>
      <c r="G6" s="25"/>
      <c r="H6" s="9"/>
      <c r="I6" s="21"/>
      <c r="J6" s="9"/>
      <c r="K6" s="9"/>
    </row>
    <row r="7">
      <c r="A7" s="26"/>
      <c r="B7" s="26"/>
      <c r="C7" s="26"/>
      <c r="D7" s="26"/>
      <c r="E7" s="26"/>
      <c r="F7" s="26"/>
      <c r="G7" s="26"/>
      <c r="H7" s="28" t="s">
        <v>29</v>
      </c>
      <c r="I7" s="31">
        <f>IFERROR(__xludf.DUMMYFUNCTION("LET(prom_lvl3, IFERROR(AVERAGE(FILTER(I9:I1003, LEN(TRIM(TO_TEXT(A9:A1003))) - LEN(SUBSTITUTE(TRIM(TO_TEXT(A9:A1003)), ""."", """")) = 2)), """"), prom_lvl2, IFERROR(AVERAGE(FILTER(I9:I1003, LEN(TRIM(TO_TEXT(A9:A1003))) - LEN(SUBSTITUTE(TRIM(TO_TEXT(A9:A1"&amp;"003)), ""."", """")) = 1)), 0), IF(ISNUMBER(prom_lvl3), prom_lvl3, prom_lvl2))"),0.5580645161290323)</f>
        <v>0.5580645161</v>
      </c>
      <c r="J7" s="32">
        <v>0.26666666666666666</v>
      </c>
      <c r="K7" s="26"/>
      <c r="U7" s="33" t="s">
        <v>33</v>
      </c>
    </row>
    <row r="8">
      <c r="A8" s="34" t="s">
        <v>34</v>
      </c>
      <c r="B8" s="35" t="s">
        <v>35</v>
      </c>
      <c r="C8" s="35" t="s">
        <v>10</v>
      </c>
      <c r="D8" s="35" t="s">
        <v>36</v>
      </c>
      <c r="E8" s="35" t="s">
        <v>37</v>
      </c>
      <c r="F8" s="35" t="s">
        <v>38</v>
      </c>
      <c r="G8" s="35" t="s">
        <v>39</v>
      </c>
      <c r="H8" s="37" t="s">
        <v>41</v>
      </c>
      <c r="I8" s="38" t="s">
        <v>42</v>
      </c>
      <c r="J8" s="39" t="s">
        <v>43</v>
      </c>
      <c r="K8" s="40" t="s">
        <v>44</v>
      </c>
      <c r="M8" s="42" t="s">
        <v>45</v>
      </c>
      <c r="N8" s="42" t="s">
        <v>46</v>
      </c>
      <c r="O8" s="42" t="s">
        <v>47</v>
      </c>
      <c r="P8" s="42" t="s">
        <v>48</v>
      </c>
      <c r="Q8" s="42" t="s">
        <v>49</v>
      </c>
      <c r="R8" s="43" t="s">
        <v>50</v>
      </c>
      <c r="S8" s="43" t="s">
        <v>4</v>
      </c>
      <c r="T8" s="43"/>
      <c r="U8" s="43" t="s">
        <v>51</v>
      </c>
      <c r="V8" s="43" t="s">
        <v>52</v>
      </c>
      <c r="W8" s="43" t="s">
        <v>54</v>
      </c>
      <c r="X8" s="43"/>
      <c r="Y8" s="43" t="s">
        <v>51</v>
      </c>
      <c r="Z8" s="43" t="s">
        <v>55</v>
      </c>
      <c r="AA8" s="43" t="s">
        <v>56</v>
      </c>
      <c r="AB8" s="44"/>
      <c r="AC8" s="44"/>
      <c r="AD8" s="44"/>
    </row>
    <row r="9">
      <c r="A9" s="46">
        <v>1.0</v>
      </c>
      <c r="B9" s="47" t="s">
        <v>53</v>
      </c>
      <c r="C9" s="49" t="s">
        <v>32</v>
      </c>
      <c r="D9" s="50">
        <v>46156.0</v>
      </c>
      <c r="E9" s="50">
        <v>46252.0</v>
      </c>
      <c r="F9" s="50">
        <v>46157.0</v>
      </c>
      <c r="G9" s="50">
        <v>46262.0</v>
      </c>
      <c r="H9" s="51"/>
      <c r="I9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0)"),1.0)</f>
        <v>1</v>
      </c>
      <c r="J9" s="54">
        <f>IFERROR(__xludf.DUMMYFUNCTION("IF(OR(D9="""", E9=""""), IFERROR(MAX(FILTER(INDIRECT(""E""&amp;(ROW()+1)&amp;"":E1000""), LEFT(INDIRECT(""A""&amp;(ROW()+1)&amp;"":A1000""), LEN(TRIM(TO_TEXT(INDIRECT(""A""&amp;ROW()))))+1) = TRIM(TO_TEXT(INDIRECT(""A""&amp;ROW())))&amp;""."")) - MIN(FILTER(INDIRECT(""D""&amp;(ROW()+1)&amp;"&amp;""":D1000""), LEFT(INDIRECT(""A""&amp;(ROW()+1)&amp;"":A1000""), LEN(TRIM(TO_TEXT(INDIRECT(""A""&amp;ROW()))))+1) = TRIM(TO_TEXT(INDIRECT(""A""&amp;ROW())))&amp;""."")), """"), E9 - D9)"),96.0)</f>
        <v>96</v>
      </c>
      <c r="K9" s="55">
        <f>IFERROR(__xludf.DUMMYFUNCTION("IF(ISNUMBER(F9), IF(ISNUMBER(G9), G9 - F9, TODAY() - F9), IFERROR(IF(COUNT(IFERROR(FILTER(INDIRECT(""F""&amp;(ROW()+1)&amp;"":F1000""), LEFT(INDIRECT(""A""&amp;(ROW()+1)&amp;"":A1000""), LEN(TRIM(TO_TEXT(INDIRECT(""A""&amp;ROW()))))+1) = TRIM(TO_TEXT(INDIRECT(""A""&amp;ROW())))&amp;"&amp;""".""),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COUNT(IFERROR(FILTER(INDI"&amp;"RECT(""D""&amp;(ROW()+1)&amp;"":D1000""),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LEFT(INDIRE"&amp;"CT(""A""&amp;(ROW()+1)&amp;"":A1000""),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LEN(TRIM(TO_TEXT(INDIRE"&amp;"CT(""A""&amp;ROW()))))+1)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TRIM(TO_TEXT(INDIRECT(""A""&amp;RO"&amp;"W())))&amp;"".""), """")))), """"))"),105.0)</f>
        <v>105</v>
      </c>
      <c r="M9" s="15" t="str">
        <f>IFERROR(__xludf.DUMMYFUNCTION("IF(AND(LEN(A9&amp;"""")-LEN(SUBSTITUTE(A9&amp;"""", ""."", """")) = 2, REGEXMATCH(A9&amp;"""", ""^(1\.|2\.|3\.|4\.1\.)"")), 1 / SUMPRODUCT(--(LEN($A$9:$A$200&amp;"""")-LEN(SUBSTITUTE($A$9:$A$200&amp;"""", ""."", """")) = 2), --REGEXMATCH($A$9:$A$200&amp;"""", ""^(1\.|2\.|3\.|4\."&amp;"1\.)"")), """")"),"")</f>
        <v/>
      </c>
      <c r="N9" s="15" t="str">
        <f>IFERROR(__xludf.DUMMYFUNCTION("IF(AND(LEN(A9&amp;"""")-LEN(SUBSTITUTE(A9&amp;"""", ""."", """")) = 2, REGEXMATCH(A9&amp;"""", ""^(4\.2\.|4\.3\.)"")), 1 / SUMPRODUCT(--(LEN($A$9:$A$200&amp;"""")-LEN(SUBSTITUTE($A$9:$A$200&amp;"""", ""."", """")) = 2), --REGEXMATCH($A$9:$A$200&amp;"""", ""^(4\.2\.|4\.3\.)"")), "&amp;""""")"),"")</f>
        <v/>
      </c>
      <c r="O9" s="15" t="str">
        <f>IFERROR(__xludf.DUMMYFUNCTION("IF(AND(LEN(A9&amp;"""")-LEN(SUBSTITUTE(A9&amp;"""", ""."", """")) = 2, REGEXMATCH(A9&amp;"""", ""^4\.4\."")), 1 / SUMPRODUCT(--(LEN($A$9:$A$200&amp;"""")-LEN(SUBSTITUTE($A$9:$A$200&amp;"""", ""."", """")) = 2), --REGEXMATCH($A$9:$A$200&amp;"""", ""^4\.4\."")), """")"),"")</f>
        <v/>
      </c>
      <c r="P9" s="15" t="str">
        <f>IFERROR(__xludf.DUMMYFUNCTION("IF(AND(LEN(A9&amp;"""")-LEN(SUBSTITUTE(A9&amp;"""", ""."", """")) = 2, REGEXMATCH(A9&amp;"""", ""^4\.5\.[1-3]$"")), 1 / SUMPRODUCT(--(LEN($A$9:$A$200&amp;"""")-LEN(SUBSTITUTE($A$9:$A$200&amp;"""", ""."", """")) = 2), --REGEXMATCH($A$9:$A$200&amp;"""", ""^4\.5\.[1-3]$"")), """")"),"")</f>
        <v/>
      </c>
      <c r="Q9" s="15" t="str">
        <f>IFERROR(__xludf.DUMMYFUNCTION("IF(AND(LEN(A9&amp;"""")-LEN(SUBSTITUTE(A9&amp;"""", ""."", """")) = 2, REGEXMATCH(A9&amp;"""", ""^(4\.5\.[4-9]$|4\.6\.|5\.)"")), 1 / SUMPRODUCT(--(LEN($A$9:$A$200&amp;"""")-LEN(SUBSTITUTE($A$9:$A$200&amp;"""", ""."", """")) = 2), --REGEXMATCH($A$9:$A$200&amp;"""", ""^(4\.5\.[4-9"&amp;"]$|4\.6\.|5\.)"")), """")"),"")</f>
        <v/>
      </c>
      <c r="R9" s="12" t="str">
        <f t="shared" ref="R9:R93" si="1">IF(E9="", "", TEXT(E9, "mmmm yyyy"))</f>
        <v>agosto 2026</v>
      </c>
      <c r="S9" s="12" t="str">
        <f t="shared" ref="S9:S93" si="2">IF(G9="", "", TEXT(G9, "mmmm yyyy"))</f>
        <v>agosto 2026</v>
      </c>
      <c r="U9" s="12" t="s">
        <v>16</v>
      </c>
      <c r="V9" s="15">
        <v>0.08695652173913043</v>
      </c>
      <c r="W9" s="15">
        <f>V9</f>
        <v>0.08695652174</v>
      </c>
      <c r="Y9" s="12" t="s">
        <v>16</v>
      </c>
      <c r="Z9" s="15">
        <v>0.08695652173913043</v>
      </c>
      <c r="AA9" s="15">
        <f>Z9</f>
        <v>0.08695652174</v>
      </c>
    </row>
    <row r="10">
      <c r="A10" s="46">
        <v>1.1</v>
      </c>
      <c r="B10" s="47" t="s">
        <v>62</v>
      </c>
      <c r="C10" s="49" t="s">
        <v>32</v>
      </c>
      <c r="D10" s="50">
        <v>46157.0</v>
      </c>
      <c r="E10" s="50">
        <v>46164.0</v>
      </c>
      <c r="F10" s="50">
        <v>46156.0</v>
      </c>
      <c r="G10" s="50">
        <v>46262.0</v>
      </c>
      <c r="H10" s="51"/>
      <c r="I10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0)"),1.0)</f>
        <v>1</v>
      </c>
      <c r="J10" s="54">
        <f>IFERROR(__xludf.DUMMYFUNCTION("IF(OR(D10="""", E10=""""),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E10 - D10)"),7.0)</f>
        <v>7</v>
      </c>
      <c r="K10" s="55">
        <f>IFERROR(__xludf.DUMMYFUNCTION("IF(ISNUMBER(F10), IF(ISNUMBER(G10), G10 - F10, TODAY() - F10),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""""))"),106.0)</f>
        <v>106</v>
      </c>
      <c r="M10" s="15" t="str">
        <f>IFERROR(__xludf.DUMMYFUNCTION("IF(AND(LEN(A10&amp;"""")-LEN(SUBSTITUTE(A10&amp;"""", ""."", """")) = 2, REGEXMATCH(A10&amp;"""", ""^(1\.|2\.|3\.|4\.1\.)"")), 1 / SUMPRODUCT(--(LEN($A$9:$A$200&amp;"""")-LEN(SUBSTITUTE($A$9:$A$200&amp;"""", ""."", """")) = 2), --REGEXMATCH($A$9:$A$200&amp;"""", ""^(1\.|2\.|3\.|"&amp;"4\.1\.)"")), """")"),"")</f>
        <v/>
      </c>
      <c r="N10" s="15" t="str">
        <f>IFERROR(__xludf.DUMMYFUNCTION("IF(AND(LEN(A10&amp;"""")-LEN(SUBSTITUTE(A10&amp;"""", ""."", """")) = 2, REGEXMATCH(A10&amp;"""", ""^(4\.2\.|4\.3\.)"")), 1 / SUMPRODUCT(--(LEN($A$9:$A$200&amp;"""")-LEN(SUBSTITUTE($A$9:$A$200&amp;"""", ""."", """")) = 2), --REGEXMATCH($A$9:$A$200&amp;"""", ""^(4\.2\.|4\.3\.)"")"&amp;"), """")"),"")</f>
        <v/>
      </c>
      <c r="O10" s="15" t="str">
        <f>IFERROR(__xludf.DUMMYFUNCTION("IF(AND(LEN(A10&amp;"""")-LEN(SUBSTITUTE(A10&amp;"""", ""."", """")) = 2, REGEXMATCH(A10&amp;"""", ""^4\.4\."")), 1 / SUMPRODUCT(--(LEN($A$9:$A$200&amp;"""")-LEN(SUBSTITUTE($A$9:$A$200&amp;"""", ""."", """")) = 2), --REGEXMATCH($A$9:$A$200&amp;"""", ""^4\.4\."")), """")"),"")</f>
        <v/>
      </c>
      <c r="P10" s="15" t="str">
        <f>IFERROR(__xludf.DUMMYFUNCTION("IF(AND(LEN(A10&amp;"""")-LEN(SUBSTITUTE(A10&amp;"""", ""."", """")) = 2, REGEXMATCH(A10&amp;"""", ""^4\.5\.[1-3]$"")), 1 / SUMPRODUCT(--(LEN($A$9:$A$200&amp;"""")-LEN(SUBSTITUTE($A$9:$A$200&amp;"""", ""."", """")) = 2), --REGEXMATCH($A$9:$A$200&amp;"""", ""^4\.5\.[1-3]$"")), """&amp;""")"),"")</f>
        <v/>
      </c>
      <c r="Q10" s="15" t="str">
        <f>IFERROR(__xludf.DUMMYFUNCTION("IF(AND(LEN(A10&amp;"""")-LEN(SUBSTITUTE(A10&amp;"""", ""."", """")) = 2, REGEXMATCH(A10&amp;"""", ""^(4\.5\.[4-9]$|4\.6\.|5\.)"")), 1 / SUMPRODUCT(--(LEN($A$9:$A$200&amp;"""")-LEN(SUBSTITUTE($A$9:$A$200&amp;"""", ""."", """")) = 2), --REGEXMATCH($A$9:$A$200&amp;"""", ""^(4\.5\.["&amp;"4-9]$|4\.6\.|5\.)"")), """")"),"")</f>
        <v/>
      </c>
      <c r="R10" s="12" t="str">
        <f t="shared" si="1"/>
        <v>mayo 2026</v>
      </c>
      <c r="S10" s="12" t="str">
        <f t="shared" si="2"/>
        <v>agosto 2026</v>
      </c>
      <c r="U10" s="12" t="s">
        <v>14</v>
      </c>
      <c r="V10" s="15">
        <v>0.08695652173913043</v>
      </c>
      <c r="W10" s="15">
        <f t="shared" ref="W10:W13" si="3">V10+W9</f>
        <v>0.1739130435</v>
      </c>
      <c r="Y10" s="12" t="s">
        <v>14</v>
      </c>
      <c r="Z10" s="15">
        <v>0.08695652173913043</v>
      </c>
      <c r="AA10" s="15">
        <f t="shared" ref="AA10:AA13" si="4">Z10+AA9</f>
        <v>0.1739130435</v>
      </c>
    </row>
    <row r="11">
      <c r="A11" s="46" t="s">
        <v>73</v>
      </c>
      <c r="B11" s="47" t="s">
        <v>74</v>
      </c>
      <c r="C11" s="49" t="s">
        <v>32</v>
      </c>
      <c r="D11" s="50">
        <v>46157.0</v>
      </c>
      <c r="E11" s="50">
        <v>46157.0</v>
      </c>
      <c r="F11" s="50">
        <v>46157.0</v>
      </c>
      <c r="G11" s="50">
        <v>46157.0</v>
      </c>
      <c r="H11" s="51"/>
      <c r="I11" s="68">
        <v>1.0</v>
      </c>
      <c r="J11" s="54">
        <f>IFERROR(__xludf.DUMMYFUNCTION("IF(OR(D11="""", E11=""""),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E11 - D11)"),0.0)</f>
        <v>0</v>
      </c>
      <c r="K11" s="55">
        <f>IFERROR(__xludf.DUMMYFUNCTION("IF(ISNUMBER(F11), IF(ISNUMBER(G11), G11 - F11, TODAY() - F11),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""""))"),0.0)</f>
        <v>0</v>
      </c>
      <c r="M11" s="15">
        <f>IFERROR(__xludf.DUMMYFUNCTION("IF(AND(LEN(A11&amp;"""")-LEN(SUBSTITUTE(A11&amp;"""", ""."", """")) = 2, REGEXMATCH(A11&amp;"""",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11" s="15" t="str">
        <f>IFERROR(__xludf.DUMMYFUNCTION("IF(AND(LEN(A11&amp;"""")-LEN(SUBSTITUTE(A11&amp;"""", ""."", """")) = 2, REGEXMATCH(A11&amp;"""", ""^(4\.2\.|4\.3\.)"")), 1 / SUMPRODUCT(--(LEN($A$9:$A$200&amp;"""")-LEN(SUBSTITUTE($A$9:$A$200&amp;"""", ""."", """")) = 2), --REGEXMATCH($A$9:$A$200&amp;"""", ""^(4\.2\.|4\.3\.)"")"&amp;"), """")"),"")</f>
        <v/>
      </c>
      <c r="O11" s="15" t="str">
        <f>IFERROR(__xludf.DUMMYFUNCTION("IF(AND(LEN(A11&amp;"""")-LEN(SUBSTITUTE(A11&amp;"""", ""."", """")) = 2, REGEXMATCH(A11&amp;"""", ""^4\.4\."")), 1 / SUMPRODUCT(--(LEN($A$9:$A$200&amp;"""")-LEN(SUBSTITUTE($A$9:$A$200&amp;"""", ""."", """")) = 2), --REGEXMATCH($A$9:$A$200&amp;"""", ""^4\.4\."")), """")"),"")</f>
        <v/>
      </c>
      <c r="P11" s="15" t="str">
        <f>IFERROR(__xludf.DUMMYFUNCTION("IF(AND(LEN(A11&amp;"""")-LEN(SUBSTITUTE(A11&amp;"""", ""."", """")) = 2, REGEXMATCH(A11&amp;"""", ""^4\.5\.[1-3]$"")), 1 / SUMPRODUCT(--(LEN($A$9:$A$200&amp;"""")-LEN(SUBSTITUTE($A$9:$A$200&amp;"""", ""."", """")) = 2), --REGEXMATCH($A$9:$A$200&amp;"""", ""^4\.5\.[1-3]$"")), """&amp;""")"),"")</f>
        <v/>
      </c>
      <c r="Q11" s="15" t="str">
        <f>IFERROR(__xludf.DUMMYFUNCTION("IF(AND(LEN(A11&amp;"""")-LEN(SUBSTITUTE(A11&amp;"""", ""."", """")) = 2, REGEXMATCH(A11&amp;"""", ""^(4\.5\.[4-9]$|4\.6\.|5\.)"")), 1 / SUMPRODUCT(--(LEN($A$9:$A$200&amp;"""")-LEN(SUBSTITUTE($A$9:$A$200&amp;"""", ""."", """")) = 2), --REGEXMATCH($A$9:$A$200&amp;"""", ""^(4\.5\.["&amp;"4-9]$|4\.6\.|5\.)"")), """")"),"")</f>
        <v/>
      </c>
      <c r="R11" s="12" t="str">
        <f t="shared" si="1"/>
        <v>mayo 2026</v>
      </c>
      <c r="S11" s="12" t="str">
        <f t="shared" si="2"/>
        <v>mayo 2026</v>
      </c>
      <c r="U11" s="12" t="s">
        <v>11</v>
      </c>
      <c r="V11" s="15">
        <v>0.6086956521739129</v>
      </c>
      <c r="W11" s="15">
        <f t="shared" si="3"/>
        <v>0.7826086957</v>
      </c>
      <c r="Y11" s="12" t="s">
        <v>11</v>
      </c>
      <c r="Z11" s="15">
        <v>0.652173913043478</v>
      </c>
      <c r="AA11" s="15">
        <f t="shared" si="4"/>
        <v>0.8260869565</v>
      </c>
    </row>
    <row r="12">
      <c r="A12" s="46" t="s">
        <v>79</v>
      </c>
      <c r="B12" s="47" t="s">
        <v>80</v>
      </c>
      <c r="C12" s="49" t="s">
        <v>32</v>
      </c>
      <c r="D12" s="50">
        <v>46156.0</v>
      </c>
      <c r="E12" s="50">
        <v>46167.0</v>
      </c>
      <c r="F12" s="50">
        <v>46156.0</v>
      </c>
      <c r="G12" s="50">
        <v>46167.0</v>
      </c>
      <c r="H12" s="51"/>
      <c r="I12" s="68">
        <v>1.0</v>
      </c>
      <c r="J12" s="54">
        <f>IFERROR(__xludf.DUMMYFUNCTION("IF(OR(D12="""", E12=""""),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E12 - D12)"),11.0)</f>
        <v>11</v>
      </c>
      <c r="K12" s="55">
        <f>IFERROR(__xludf.DUMMYFUNCTION("IF(ISNUMBER(F12), IF(ISNUMBER(G12), G12 - F12, TODAY() - F12),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""""))"),11.0)</f>
        <v>11</v>
      </c>
      <c r="M12" s="15">
        <f>IFERROR(__xludf.DUMMYFUNCTION("IF(AND(LEN(A12&amp;"""")-LEN(SUBSTITUTE(A12&amp;"""", ""."", """")) = 2, REGEXMATCH(A12&amp;"""",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12" s="15" t="str">
        <f>IFERROR(__xludf.DUMMYFUNCTION("IF(AND(LEN(A12&amp;"""")-LEN(SUBSTITUTE(A12&amp;"""", ""."", """")) = 2, REGEXMATCH(A12&amp;"""", ""^(4\.2\.|4\.3\.)"")), 1 / SUMPRODUCT(--(LEN($A$9:$A$200&amp;"""")-LEN(SUBSTITUTE($A$9:$A$200&amp;"""", ""."", """")) = 2), --REGEXMATCH($A$9:$A$200&amp;"""", ""^(4\.2\.|4\.3\.)"")"&amp;"), """")"),"")</f>
        <v/>
      </c>
      <c r="O12" s="15" t="str">
        <f>IFERROR(__xludf.DUMMYFUNCTION("IF(AND(LEN(A12&amp;"""")-LEN(SUBSTITUTE(A12&amp;"""", ""."", """")) = 2, REGEXMATCH(A12&amp;"""", ""^4\.4\."")), 1 / SUMPRODUCT(--(LEN($A$9:$A$200&amp;"""")-LEN(SUBSTITUTE($A$9:$A$200&amp;"""", ""."", """")) = 2), --REGEXMATCH($A$9:$A$200&amp;"""", ""^4\.4\."")), """")"),"")</f>
        <v/>
      </c>
      <c r="P12" s="15" t="str">
        <f>IFERROR(__xludf.DUMMYFUNCTION("IF(AND(LEN(A12&amp;"""")-LEN(SUBSTITUTE(A12&amp;"""", ""."", """")) = 2, REGEXMATCH(A12&amp;"""", ""^4\.5\.[1-3]$"")), 1 / SUMPRODUCT(--(LEN($A$9:$A$200&amp;"""")-LEN(SUBSTITUTE($A$9:$A$200&amp;"""", ""."", """")) = 2), --REGEXMATCH($A$9:$A$200&amp;"""", ""^4\.5\.[1-3]$"")), """&amp;""")"),"")</f>
        <v/>
      </c>
      <c r="Q12" s="15" t="str">
        <f>IFERROR(__xludf.DUMMYFUNCTION("IF(AND(LEN(A12&amp;"""")-LEN(SUBSTITUTE(A12&amp;"""", ""."", """")) = 2, REGEXMATCH(A12&amp;"""", ""^(4\.5\.[4-9]$|4\.6\.|5\.)"")), 1 / SUMPRODUCT(--(LEN($A$9:$A$200&amp;"""")-LEN(SUBSTITUTE($A$9:$A$200&amp;"""", ""."", """")) = 2), --REGEXMATCH($A$9:$A$200&amp;"""", ""^(4\.5\.["&amp;"4-9]$|4\.6\.|5\.)"")), """")"),"")</f>
        <v/>
      </c>
      <c r="R12" s="12" t="str">
        <f t="shared" si="1"/>
        <v>mayo 2026</v>
      </c>
      <c r="S12" s="12" t="str">
        <f t="shared" si="2"/>
        <v>mayo 2026</v>
      </c>
      <c r="U12" s="12" t="s">
        <v>19</v>
      </c>
      <c r="V12" s="15">
        <v>0.13043478260869565</v>
      </c>
      <c r="W12" s="15">
        <f t="shared" si="3"/>
        <v>0.9130434783</v>
      </c>
      <c r="Y12" s="12" t="s">
        <v>19</v>
      </c>
      <c r="Z12" s="15">
        <v>0.043478260869565216</v>
      </c>
      <c r="AA12" s="15">
        <f t="shared" si="4"/>
        <v>0.8695652174</v>
      </c>
    </row>
    <row r="13">
      <c r="A13" s="46" t="s">
        <v>86</v>
      </c>
      <c r="B13" s="47" t="s">
        <v>87</v>
      </c>
      <c r="C13" s="49" t="s">
        <v>32</v>
      </c>
      <c r="D13" s="50">
        <v>46252.0</v>
      </c>
      <c r="E13" s="50">
        <v>46252.0</v>
      </c>
      <c r="F13" s="50">
        <v>46262.0</v>
      </c>
      <c r="G13" s="50">
        <v>46262.0</v>
      </c>
      <c r="H13" s="51" t="s">
        <v>88</v>
      </c>
      <c r="I13" s="68">
        <v>1.0</v>
      </c>
      <c r="J13" s="54">
        <f>IFERROR(__xludf.DUMMYFUNCTION("IF(OR(D13="""", E13=""""),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E13 - D13)"),0.0)</f>
        <v>0</v>
      </c>
      <c r="K13" s="55">
        <f>IFERROR(__xludf.DUMMYFUNCTION("IF(ISNUMBER(F13), IF(ISNUMBER(G13), G13 - F13, TODAY() - F13),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""""))"),0.0)</f>
        <v>0</v>
      </c>
      <c r="M13" s="15">
        <f>IFERROR(__xludf.DUMMYFUNCTION("IF(AND(LEN(A13&amp;"""")-LEN(SUBSTITUTE(A13&amp;"""", ""."", """")) = 2, REGEXMATCH(A13&amp;"""",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13" s="15" t="str">
        <f>IFERROR(__xludf.DUMMYFUNCTION("IF(AND(LEN(A13&amp;"""")-LEN(SUBSTITUTE(A13&amp;"""", ""."", """")) = 2, REGEXMATCH(A13&amp;"""", ""^(4\.2\.|4\.3\.)"")), 1 / SUMPRODUCT(--(LEN($A$9:$A$200&amp;"""")-LEN(SUBSTITUTE($A$9:$A$200&amp;"""", ""."", """")) = 2), --REGEXMATCH($A$9:$A$200&amp;"""", ""^(4\.2\.|4\.3\.)"")"&amp;"), """")"),"")</f>
        <v/>
      </c>
      <c r="O13" s="15" t="str">
        <f>IFERROR(__xludf.DUMMYFUNCTION("IF(AND(LEN(A13&amp;"""")-LEN(SUBSTITUTE(A13&amp;"""", ""."", """")) = 2, REGEXMATCH(A13&amp;"""", ""^4\.4\."")), 1 / SUMPRODUCT(--(LEN($A$9:$A$200&amp;"""")-LEN(SUBSTITUTE($A$9:$A$200&amp;"""", ""."", """")) = 2), --REGEXMATCH($A$9:$A$200&amp;"""", ""^4\.4\."")), """")"),"")</f>
        <v/>
      </c>
      <c r="P13" s="15" t="str">
        <f>IFERROR(__xludf.DUMMYFUNCTION("IF(AND(LEN(A13&amp;"""")-LEN(SUBSTITUTE(A13&amp;"""", ""."", """")) = 2, REGEXMATCH(A13&amp;"""", ""^4\.5\.[1-3]$"")), 1 / SUMPRODUCT(--(LEN($A$9:$A$200&amp;"""")-LEN(SUBSTITUTE($A$9:$A$200&amp;"""", ""."", """")) = 2), --REGEXMATCH($A$9:$A$200&amp;"""", ""^4\.5\.[1-3]$"")), """&amp;""")"),"")</f>
        <v/>
      </c>
      <c r="Q13" s="15" t="str">
        <f>IFERROR(__xludf.DUMMYFUNCTION("IF(AND(LEN(A13&amp;"""")-LEN(SUBSTITUTE(A13&amp;"""", ""."", """")) = 2, REGEXMATCH(A13&amp;"""", ""^(4\.5\.[4-9]$|4\.6\.|5\.)"")), 1 / SUMPRODUCT(--(LEN($A$9:$A$200&amp;"""")-LEN(SUBSTITUTE($A$9:$A$200&amp;"""", ""."", """")) = 2), --REGEXMATCH($A$9:$A$200&amp;"""", ""^(4\.5\.["&amp;"4-9]$|4\.6\.|5\.)"")), """")"),"")</f>
        <v/>
      </c>
      <c r="R13" s="12" t="str">
        <f t="shared" si="1"/>
        <v>agosto 2026</v>
      </c>
      <c r="S13" s="12" t="str">
        <f t="shared" si="2"/>
        <v>agosto 2026</v>
      </c>
      <c r="U13" s="12" t="s">
        <v>17</v>
      </c>
      <c r="V13" s="15">
        <v>0.08695652173913043</v>
      </c>
      <c r="W13" s="15">
        <f t="shared" si="3"/>
        <v>1</v>
      </c>
      <c r="Y13" s="12" t="s">
        <v>17</v>
      </c>
      <c r="Z13" s="15">
        <v>0.0</v>
      </c>
      <c r="AA13" s="15">
        <f t="shared" si="4"/>
        <v>0.8695652174</v>
      </c>
    </row>
    <row r="14">
      <c r="A14" s="46" t="s">
        <v>90</v>
      </c>
      <c r="B14" s="47" t="s">
        <v>91</v>
      </c>
      <c r="C14" s="49" t="s">
        <v>32</v>
      </c>
      <c r="D14" s="50">
        <v>46262.0</v>
      </c>
      <c r="E14" s="50">
        <v>46262.0</v>
      </c>
      <c r="F14" s="50">
        <v>46262.0</v>
      </c>
      <c r="G14" s="50">
        <v>46262.0</v>
      </c>
      <c r="H14" s="51"/>
      <c r="I14" s="68">
        <v>1.0</v>
      </c>
      <c r="J14" s="54">
        <f>IFERROR(__xludf.DUMMYFUNCTION("IF(OR(D14="""", E14=""""),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E14 - D14)"),0.0)</f>
        <v>0</v>
      </c>
      <c r="K14" s="55">
        <f>IFERROR(__xludf.DUMMYFUNCTION("IF(ISNUMBER(F14), IF(ISNUMBER(G14), G14 - F14, TODAY() - F14),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""""))"),0.0)</f>
        <v>0</v>
      </c>
      <c r="M14" s="15">
        <f>IFERROR(__xludf.DUMMYFUNCTION("IF(AND(LEN(A14&amp;"""")-LEN(SUBSTITUTE(A14&amp;"""", ""."", """")) = 2, REGEXMATCH(A14&amp;"""",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14" s="15" t="str">
        <f>IFERROR(__xludf.DUMMYFUNCTION("IF(AND(LEN(A14&amp;"""")-LEN(SUBSTITUTE(A14&amp;"""", ""."", """")) = 2, REGEXMATCH(A14&amp;"""", ""^(4\.2\.|4\.3\.)"")), 1 / SUMPRODUCT(--(LEN($A$9:$A$200&amp;"""")-LEN(SUBSTITUTE($A$9:$A$200&amp;"""", ""."", """")) = 2), --REGEXMATCH($A$9:$A$200&amp;"""", ""^(4\.2\.|4\.3\.)"")"&amp;"), """")"),"")</f>
        <v/>
      </c>
      <c r="O14" s="15" t="str">
        <f>IFERROR(__xludf.DUMMYFUNCTION("IF(AND(LEN(A14&amp;"""")-LEN(SUBSTITUTE(A14&amp;"""", ""."", """")) = 2, REGEXMATCH(A14&amp;"""", ""^4\.4\."")), 1 / SUMPRODUCT(--(LEN($A$9:$A$200&amp;"""")-LEN(SUBSTITUTE($A$9:$A$200&amp;"""", ""."", """")) = 2), --REGEXMATCH($A$9:$A$200&amp;"""", ""^4\.4\."")), """")"),"")</f>
        <v/>
      </c>
      <c r="P14" s="15" t="str">
        <f>IFERROR(__xludf.DUMMYFUNCTION("IF(AND(LEN(A14&amp;"""")-LEN(SUBSTITUTE(A14&amp;"""", ""."", """")) = 2, REGEXMATCH(A14&amp;"""", ""^4\.5\.[1-3]$"")), 1 / SUMPRODUCT(--(LEN($A$9:$A$200&amp;"""")-LEN(SUBSTITUTE($A$9:$A$200&amp;"""", ""."", """")) = 2), --REGEXMATCH($A$9:$A$200&amp;"""", ""^4\.5\.[1-3]$"")), """&amp;""")"),"")</f>
        <v/>
      </c>
      <c r="Q14" s="15" t="str">
        <f>IFERROR(__xludf.DUMMYFUNCTION("IF(AND(LEN(A14&amp;"""")-LEN(SUBSTITUTE(A14&amp;"""", ""."", """")) = 2, REGEXMATCH(A14&amp;"""", ""^(4\.5\.[4-9]$|4\.6\.|5\.)"")), 1 / SUMPRODUCT(--(LEN($A$9:$A$200&amp;"""")-LEN(SUBSTITUTE($A$9:$A$200&amp;"""", ""."", """")) = 2), --REGEXMATCH($A$9:$A$200&amp;"""", ""^(4\.5\.["&amp;"4-9]$|4\.6\.|5\.)"")), """")"),"")</f>
        <v/>
      </c>
      <c r="R14" s="12" t="str">
        <f t="shared" si="1"/>
        <v>agosto 2026</v>
      </c>
      <c r="S14" s="12" t="str">
        <f t="shared" si="2"/>
        <v>agosto 2026</v>
      </c>
    </row>
    <row r="15">
      <c r="A15" s="46">
        <v>2.0</v>
      </c>
      <c r="B15" s="47" t="s">
        <v>94</v>
      </c>
      <c r="C15" s="46"/>
      <c r="D15" s="50">
        <v>46262.0</v>
      </c>
      <c r="E15" s="50">
        <v>46300.0</v>
      </c>
      <c r="F15" s="50"/>
      <c r="G15" s="50"/>
      <c r="H15" s="51"/>
      <c r="I15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0)"),0.5333333333333333)</f>
        <v>0.5333333333</v>
      </c>
      <c r="J15" s="54">
        <f>IFERROR(__xludf.DUMMYFUNCTION("IF(OR(D15="""", E15=""""),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E15 - D15)"),38.0)</f>
        <v>38</v>
      </c>
      <c r="K15" s="55">
        <f>IFERROR(__xludf.DUMMYFUNCTION("IF(ISNUMBER(F15), IF(ISNUMBER(G15), G15 - F15, TODAY() - F15),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""""))"),50.0)</f>
        <v>50</v>
      </c>
      <c r="M15" s="15" t="str">
        <f>IFERROR(__xludf.DUMMYFUNCTION("IF(AND(LEN(A15&amp;"""")-LEN(SUBSTITUTE(A15&amp;"""", ""."", """")) = 2, REGEXMATCH(A15&amp;"""", ""^(1\.|2\.|3\.|4\.1\.)"")), 1 / SUMPRODUCT(--(LEN($A$9:$A$200&amp;"""")-LEN(SUBSTITUTE($A$9:$A$200&amp;"""", ""."", """")) = 2), --REGEXMATCH($A$9:$A$200&amp;"""", ""^(1\.|2\.|3\.|"&amp;"4\.1\.)"")), """")"),"")</f>
        <v/>
      </c>
      <c r="N15" s="15" t="str">
        <f>IFERROR(__xludf.DUMMYFUNCTION("IF(AND(LEN(A15&amp;"""")-LEN(SUBSTITUTE(A15&amp;"""", ""."", """")) = 2, REGEXMATCH(A15&amp;"""", ""^(4\.2\.|4\.3\.)"")), 1 / SUMPRODUCT(--(LEN($A$9:$A$200&amp;"""")-LEN(SUBSTITUTE($A$9:$A$200&amp;"""", ""."", """")) = 2), --REGEXMATCH($A$9:$A$200&amp;"""", ""^(4\.2\.|4\.3\.)"")"&amp;"), """")"),"")</f>
        <v/>
      </c>
      <c r="O15" s="15" t="str">
        <f>IFERROR(__xludf.DUMMYFUNCTION("IF(AND(LEN(A15&amp;"""")-LEN(SUBSTITUTE(A15&amp;"""", ""."", """")) = 2, REGEXMATCH(A15&amp;"""", ""^4\.4\."")), 1 / SUMPRODUCT(--(LEN($A$9:$A$200&amp;"""")-LEN(SUBSTITUTE($A$9:$A$200&amp;"""", ""."", """")) = 2), --REGEXMATCH($A$9:$A$200&amp;"""", ""^4\.4\."")), """")"),"")</f>
        <v/>
      </c>
      <c r="P15" s="15" t="str">
        <f>IFERROR(__xludf.DUMMYFUNCTION("IF(AND(LEN(A15&amp;"""")-LEN(SUBSTITUTE(A15&amp;"""", ""."", """")) = 2, REGEXMATCH(A15&amp;"""", ""^4\.5\.[1-3]$"")), 1 / SUMPRODUCT(--(LEN($A$9:$A$200&amp;"""")-LEN(SUBSTITUTE($A$9:$A$200&amp;"""", ""."", """")) = 2), --REGEXMATCH($A$9:$A$200&amp;"""", ""^4\.5\.[1-3]$"")), """&amp;""")"),"")</f>
        <v/>
      </c>
      <c r="Q15" s="15" t="str">
        <f>IFERROR(__xludf.DUMMYFUNCTION("IF(AND(LEN(A15&amp;"""")-LEN(SUBSTITUTE(A15&amp;"""", ""."", """")) = 2, REGEXMATCH(A15&amp;"""", ""^(4\.5\.[4-9]$|4\.6\.|5\.)"")), 1 / SUMPRODUCT(--(LEN($A$9:$A$200&amp;"""")-LEN(SUBSTITUTE($A$9:$A$200&amp;"""", ""."", """")) = 2), --REGEXMATCH($A$9:$A$200&amp;"""", ""^(4\.5\.["&amp;"4-9]$|4\.6\.|5\.)"")), """")"),"")</f>
        <v/>
      </c>
      <c r="R15" s="12" t="str">
        <f t="shared" si="1"/>
        <v>octubre 2026</v>
      </c>
      <c r="S15" s="12" t="str">
        <f t="shared" si="2"/>
        <v/>
      </c>
    </row>
    <row r="16">
      <c r="A16" s="46">
        <v>2.1</v>
      </c>
      <c r="B16" s="47" t="s">
        <v>99</v>
      </c>
      <c r="C16" s="49" t="s">
        <v>100</v>
      </c>
      <c r="D16" s="50">
        <v>46262.0</v>
      </c>
      <c r="E16" s="50">
        <v>46300.0</v>
      </c>
      <c r="F16" s="50"/>
      <c r="G16" s="50"/>
      <c r="H16" s="51" t="s">
        <v>101</v>
      </c>
      <c r="I16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0)"),0.5333333333333333)</f>
        <v>0.5333333333</v>
      </c>
      <c r="J16" s="54">
        <f>IFERROR(__xludf.DUMMYFUNCTION("IF(OR(D16="""", E16=""""),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E16 - D16)"),38.0)</f>
        <v>38</v>
      </c>
      <c r="K16" s="55">
        <f>IFERROR(__xludf.DUMMYFUNCTION("IF(ISNUMBER(F16), IF(ISNUMBER(G16), G16 - F16, TODAY() - F16),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""""))"),50.0)</f>
        <v>50</v>
      </c>
      <c r="M16" s="15" t="str">
        <f>IFERROR(__xludf.DUMMYFUNCTION("IF(AND(LEN(A16&amp;"""")-LEN(SUBSTITUTE(A16&amp;"""", ""."", """")) = 2, REGEXMATCH(A16&amp;"""", ""^(1\.|2\.|3\.|4\.1\.)"")), 1 / SUMPRODUCT(--(LEN($A$9:$A$200&amp;"""")-LEN(SUBSTITUTE($A$9:$A$200&amp;"""", ""."", """")) = 2), --REGEXMATCH($A$9:$A$200&amp;"""", ""^(1\.|2\.|3\.|"&amp;"4\.1\.)"")), """")"),"")</f>
        <v/>
      </c>
      <c r="N16" s="15" t="str">
        <f>IFERROR(__xludf.DUMMYFUNCTION("IF(AND(LEN(A16&amp;"""")-LEN(SUBSTITUTE(A16&amp;"""", ""."", """")) = 2, REGEXMATCH(A16&amp;"""", ""^(4\.2\.|4\.3\.)"")), 1 / SUMPRODUCT(--(LEN($A$9:$A$200&amp;"""")-LEN(SUBSTITUTE($A$9:$A$200&amp;"""", ""."", """")) = 2), --REGEXMATCH($A$9:$A$200&amp;"""", ""^(4\.2\.|4\.3\.)"")"&amp;"), """")"),"")</f>
        <v/>
      </c>
      <c r="O16" s="15" t="str">
        <f>IFERROR(__xludf.DUMMYFUNCTION("IF(AND(LEN(A16&amp;"""")-LEN(SUBSTITUTE(A16&amp;"""", ""."", """")) = 2, REGEXMATCH(A16&amp;"""", ""^4\.4\."")), 1 / SUMPRODUCT(--(LEN($A$9:$A$200&amp;"""")-LEN(SUBSTITUTE($A$9:$A$200&amp;"""", ""."", """")) = 2), --REGEXMATCH($A$9:$A$200&amp;"""", ""^4\.4\."")), """")"),"")</f>
        <v/>
      </c>
      <c r="P16" s="15" t="str">
        <f>IFERROR(__xludf.DUMMYFUNCTION("IF(AND(LEN(A16&amp;"""")-LEN(SUBSTITUTE(A16&amp;"""", ""."", """")) = 2, REGEXMATCH(A16&amp;"""", ""^4\.5\.[1-3]$"")), 1 / SUMPRODUCT(--(LEN($A$9:$A$200&amp;"""")-LEN(SUBSTITUTE($A$9:$A$200&amp;"""", ""."", """")) = 2), --REGEXMATCH($A$9:$A$200&amp;"""", ""^4\.5\.[1-3]$"")), """&amp;""")"),"")</f>
        <v/>
      </c>
      <c r="Q16" s="15" t="str">
        <f>IFERROR(__xludf.DUMMYFUNCTION("IF(AND(LEN(A16&amp;"""")-LEN(SUBSTITUTE(A16&amp;"""", ""."", """")) = 2, REGEXMATCH(A16&amp;"""", ""^(4\.5\.[4-9]$|4\.6\.|5\.)"")), 1 / SUMPRODUCT(--(LEN($A$9:$A$200&amp;"""")-LEN(SUBSTITUTE($A$9:$A$200&amp;"""", ""."", """")) = 2), --REGEXMATCH($A$9:$A$200&amp;"""", ""^(4\.5\.["&amp;"4-9]$|4\.6\.|5\.)"")), """")"),"")</f>
        <v/>
      </c>
      <c r="R16" s="12" t="str">
        <f t="shared" si="1"/>
        <v>octubre 2026</v>
      </c>
      <c r="S16" s="12" t="str">
        <f t="shared" si="2"/>
        <v/>
      </c>
    </row>
    <row r="17">
      <c r="A17" s="46" t="s">
        <v>104</v>
      </c>
      <c r="B17" s="47" t="s">
        <v>105</v>
      </c>
      <c r="C17" s="49" t="s">
        <v>100</v>
      </c>
      <c r="D17" s="50">
        <v>46262.0</v>
      </c>
      <c r="E17" s="50">
        <v>46286.0</v>
      </c>
      <c r="F17" s="50">
        <v>46279.0</v>
      </c>
      <c r="G17" s="50"/>
      <c r="H17" s="51" t="s">
        <v>106</v>
      </c>
      <c r="I17" s="68">
        <v>1.0</v>
      </c>
      <c r="J17" s="54">
        <f>IFERROR(__xludf.DUMMYFUNCTION("IF(OR(D17="""", E17=""""),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E17 - D17)"),24.0)</f>
        <v>24</v>
      </c>
      <c r="K17" s="55">
        <f>IFERROR(__xludf.DUMMYFUNCTION("IF(ISNUMBER(F17), IF(ISNUMBER(G17), G17 - F17, TODAY() - F17),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""""))"),43.0)</f>
        <v>43</v>
      </c>
      <c r="M17" s="15">
        <f>IFERROR(__xludf.DUMMYFUNCTION("IF(AND(LEN(A17&amp;"""")-LEN(SUBSTITUTE(A17&amp;"""", ""."", """")) = 2, REGEXMATCH(A17&amp;"""",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17" s="15" t="str">
        <f>IFERROR(__xludf.DUMMYFUNCTION("IF(AND(LEN(A17&amp;"""")-LEN(SUBSTITUTE(A17&amp;"""", ""."", """")) = 2, REGEXMATCH(A17&amp;"""", ""^(4\.2\.|4\.3\.)"")), 1 / SUMPRODUCT(--(LEN($A$9:$A$200&amp;"""")-LEN(SUBSTITUTE($A$9:$A$200&amp;"""", ""."", """")) = 2), --REGEXMATCH($A$9:$A$200&amp;"""", ""^(4\.2\.|4\.3\.)"")"&amp;"), """")"),"")</f>
        <v/>
      </c>
      <c r="O17" s="15" t="str">
        <f>IFERROR(__xludf.DUMMYFUNCTION("IF(AND(LEN(A17&amp;"""")-LEN(SUBSTITUTE(A17&amp;"""", ""."", """")) = 2, REGEXMATCH(A17&amp;"""", ""^4\.4\."")), 1 / SUMPRODUCT(--(LEN($A$9:$A$200&amp;"""")-LEN(SUBSTITUTE($A$9:$A$200&amp;"""", ""."", """")) = 2), --REGEXMATCH($A$9:$A$200&amp;"""", ""^4\.4\."")), """")"),"")</f>
        <v/>
      </c>
      <c r="P17" s="15" t="str">
        <f>IFERROR(__xludf.DUMMYFUNCTION("IF(AND(LEN(A17&amp;"""")-LEN(SUBSTITUTE(A17&amp;"""", ""."", """")) = 2, REGEXMATCH(A17&amp;"""", ""^4\.5\.[1-3]$"")), 1 / SUMPRODUCT(--(LEN($A$9:$A$200&amp;"""")-LEN(SUBSTITUTE($A$9:$A$200&amp;"""", ""."", """")) = 2), --REGEXMATCH($A$9:$A$200&amp;"""", ""^4\.5\.[1-3]$"")), """&amp;""")"),"")</f>
        <v/>
      </c>
      <c r="Q17" s="15" t="str">
        <f>IFERROR(__xludf.DUMMYFUNCTION("IF(AND(LEN(A17&amp;"""")-LEN(SUBSTITUTE(A17&amp;"""", ""."", """")) = 2, REGEXMATCH(A17&amp;"""", ""^(4\.5\.[4-9]$|4\.6\.|5\.)"")), 1 / SUMPRODUCT(--(LEN($A$9:$A$200&amp;"""")-LEN(SUBSTITUTE($A$9:$A$200&amp;"""", ""."", """")) = 2), --REGEXMATCH($A$9:$A$200&amp;"""", ""^(4\.5\.["&amp;"4-9]$|4\.6\.|5\.)"")), """")"),"")</f>
        <v/>
      </c>
      <c r="R17" s="12" t="str">
        <f t="shared" si="1"/>
        <v>septiembre 2026</v>
      </c>
      <c r="S17" s="12" t="str">
        <f t="shared" si="2"/>
        <v/>
      </c>
      <c r="AE17" s="15"/>
    </row>
    <row r="18">
      <c r="A18" s="46" t="s">
        <v>108</v>
      </c>
      <c r="B18" s="47" t="s">
        <v>109</v>
      </c>
      <c r="C18" s="49" t="s">
        <v>100</v>
      </c>
      <c r="D18" s="50">
        <v>46286.0</v>
      </c>
      <c r="E18" s="50">
        <v>46304.0</v>
      </c>
      <c r="F18" s="50">
        <v>46272.0</v>
      </c>
      <c r="G18" s="50"/>
      <c r="H18" s="51" t="s">
        <v>110</v>
      </c>
      <c r="I18" s="68">
        <v>0.6</v>
      </c>
      <c r="J18" s="54">
        <f>IFERROR(__xludf.DUMMYFUNCTION("IF(OR(D18="""", E18=""""),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E18 - D18)"),18.0)</f>
        <v>18</v>
      </c>
      <c r="K18" s="55">
        <f>IFERROR(__xludf.DUMMYFUNCTION("IF(ISNUMBER(F18), IF(ISNUMBER(G18), G18 - F18, TODAY() - F18),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""""))"),50.0)</f>
        <v>50</v>
      </c>
      <c r="M18" s="15">
        <f>IFERROR(__xludf.DUMMYFUNCTION("IF(AND(LEN(A18&amp;"""")-LEN(SUBSTITUTE(A18&amp;"""", ""."", """")) = 2, REGEXMATCH(A18&amp;"""",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18" s="15" t="str">
        <f>IFERROR(__xludf.DUMMYFUNCTION("IF(AND(LEN(A18&amp;"""")-LEN(SUBSTITUTE(A18&amp;"""", ""."", """")) = 2, REGEXMATCH(A18&amp;"""", ""^(4\.2\.|4\.3\.)"")), 1 / SUMPRODUCT(--(LEN($A$9:$A$200&amp;"""")-LEN(SUBSTITUTE($A$9:$A$200&amp;"""", ""."", """")) = 2), --REGEXMATCH($A$9:$A$200&amp;"""", ""^(4\.2\.|4\.3\.)"")"&amp;"), """")"),"")</f>
        <v/>
      </c>
      <c r="O18" s="15" t="str">
        <f>IFERROR(__xludf.DUMMYFUNCTION("IF(AND(LEN(A18&amp;"""")-LEN(SUBSTITUTE(A18&amp;"""", ""."", """")) = 2, REGEXMATCH(A18&amp;"""", ""^4\.4\."")), 1 / SUMPRODUCT(--(LEN($A$9:$A$200&amp;"""")-LEN(SUBSTITUTE($A$9:$A$200&amp;"""", ""."", """")) = 2), --REGEXMATCH($A$9:$A$200&amp;"""", ""^4\.4\."")), """")"),"")</f>
        <v/>
      </c>
      <c r="P18" s="15" t="str">
        <f>IFERROR(__xludf.DUMMYFUNCTION("IF(AND(LEN(A18&amp;"""")-LEN(SUBSTITUTE(A18&amp;"""", ""."", """")) = 2, REGEXMATCH(A18&amp;"""", ""^4\.5\.[1-3]$"")), 1 / SUMPRODUCT(--(LEN($A$9:$A$200&amp;"""")-LEN(SUBSTITUTE($A$9:$A$200&amp;"""", ""."", """")) = 2), --REGEXMATCH($A$9:$A$200&amp;"""", ""^4\.5\.[1-3]$"")), """&amp;""")"),"")</f>
        <v/>
      </c>
      <c r="Q18" s="15" t="str">
        <f>IFERROR(__xludf.DUMMYFUNCTION("IF(AND(LEN(A18&amp;"""")-LEN(SUBSTITUTE(A18&amp;"""", ""."", """")) = 2, REGEXMATCH(A18&amp;"""", ""^(4\.5\.[4-9]$|4\.6\.|5\.)"")), 1 / SUMPRODUCT(--(LEN($A$9:$A$200&amp;"""")-LEN(SUBSTITUTE($A$9:$A$200&amp;"""", ""."", """")) = 2), --REGEXMATCH($A$9:$A$200&amp;"""", ""^(4\.5\.["&amp;"4-9]$|4\.6\.|5\.)"")), """")"),"")</f>
        <v/>
      </c>
      <c r="R18" s="12" t="str">
        <f t="shared" si="1"/>
        <v>octubre 2026</v>
      </c>
      <c r="S18" s="12" t="str">
        <f t="shared" si="2"/>
        <v/>
      </c>
      <c r="AE18" s="15"/>
    </row>
    <row r="19">
      <c r="A19" s="46" t="s">
        <v>112</v>
      </c>
      <c r="B19" s="47" t="s">
        <v>113</v>
      </c>
      <c r="C19" s="49" t="s">
        <v>100</v>
      </c>
      <c r="D19" s="50">
        <v>46295.0</v>
      </c>
      <c r="E19" s="50">
        <v>46300.0</v>
      </c>
      <c r="F19" s="50"/>
      <c r="G19" s="50"/>
      <c r="H19" s="51"/>
      <c r="I19" s="68">
        <v>0.0</v>
      </c>
      <c r="J19" s="54">
        <f>IFERROR(__xludf.DUMMYFUNCTION("IF(OR(D19="""", E19=""""),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E19 - D19)"),5.0)</f>
        <v>5</v>
      </c>
      <c r="K19" s="55" t="str">
        <f>IFERROR(__xludf.DUMMYFUNCTION("IF(ISNUMBER(F19), IF(ISNUMBER(G19), G19 - F19, TODAY() - F19),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19" s="15">
        <f>IFERROR(__xludf.DUMMYFUNCTION("IF(AND(LEN(A19&amp;"""")-LEN(SUBSTITUTE(A19&amp;"""", ""."", """")) = 2, REGEXMATCH(A19&amp;"""",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19" s="15" t="str">
        <f>IFERROR(__xludf.DUMMYFUNCTION("IF(AND(LEN(A19&amp;"""")-LEN(SUBSTITUTE(A19&amp;"""", ""."", """")) = 2, REGEXMATCH(A19&amp;"""", ""^(4\.2\.|4\.3\.)"")), 1 / SUMPRODUCT(--(LEN($A$9:$A$200&amp;"""")-LEN(SUBSTITUTE($A$9:$A$200&amp;"""", ""."", """")) = 2), --REGEXMATCH($A$9:$A$200&amp;"""", ""^(4\.2\.|4\.3\.)"")"&amp;"), """")"),"")</f>
        <v/>
      </c>
      <c r="O19" s="15" t="str">
        <f>IFERROR(__xludf.DUMMYFUNCTION("IF(AND(LEN(A19&amp;"""")-LEN(SUBSTITUTE(A19&amp;"""", ""."", """")) = 2, REGEXMATCH(A19&amp;"""", ""^4\.4\."")), 1 / SUMPRODUCT(--(LEN($A$9:$A$200&amp;"""")-LEN(SUBSTITUTE($A$9:$A$200&amp;"""", ""."", """")) = 2), --REGEXMATCH($A$9:$A$200&amp;"""", ""^4\.4\."")), """")"),"")</f>
        <v/>
      </c>
      <c r="P19" s="15" t="str">
        <f>IFERROR(__xludf.DUMMYFUNCTION("IF(AND(LEN(A19&amp;"""")-LEN(SUBSTITUTE(A19&amp;"""", ""."", """")) = 2, REGEXMATCH(A19&amp;"""", ""^4\.5\.[1-3]$"")), 1 / SUMPRODUCT(--(LEN($A$9:$A$200&amp;"""")-LEN(SUBSTITUTE($A$9:$A$200&amp;"""", ""."", """")) = 2), --REGEXMATCH($A$9:$A$200&amp;"""", ""^4\.5\.[1-3]$"")), """&amp;""")"),"")</f>
        <v/>
      </c>
      <c r="Q19" s="15" t="str">
        <f>IFERROR(__xludf.DUMMYFUNCTION("IF(AND(LEN(A19&amp;"""")-LEN(SUBSTITUTE(A19&amp;"""", ""."", """")) = 2, REGEXMATCH(A19&amp;"""", ""^(4\.5\.[4-9]$|4\.6\.|5\.)"")), 1 / SUMPRODUCT(--(LEN($A$9:$A$200&amp;"""")-LEN(SUBSTITUTE($A$9:$A$200&amp;"""", ""."", """")) = 2), --REGEXMATCH($A$9:$A$200&amp;"""", ""^(4\.5\.["&amp;"4-9]$|4\.6\.|5\.)"")), """")"),"")</f>
        <v/>
      </c>
      <c r="R19" s="12" t="str">
        <f t="shared" si="1"/>
        <v>octubre 2026</v>
      </c>
      <c r="S19" s="12" t="str">
        <f t="shared" si="2"/>
        <v/>
      </c>
    </row>
    <row r="20">
      <c r="A20" s="46">
        <v>3.0</v>
      </c>
      <c r="B20" s="47" t="s">
        <v>63</v>
      </c>
      <c r="C20" s="49" t="s">
        <v>32</v>
      </c>
      <c r="D20" s="50">
        <v>46233.0</v>
      </c>
      <c r="E20" s="50">
        <v>46248.0</v>
      </c>
      <c r="F20" s="50">
        <v>46234.0</v>
      </c>
      <c r="G20" s="50">
        <v>46248.0</v>
      </c>
      <c r="H20" s="51"/>
      <c r="I20" s="68">
        <v>1.0</v>
      </c>
      <c r="J20" s="54">
        <f>IFERROR(__xludf.DUMMYFUNCTION("IF(OR(D20="""", E20=""""),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E20 - D20)"),15.0)</f>
        <v>15</v>
      </c>
      <c r="K20" s="55">
        <f>IFERROR(__xludf.DUMMYFUNCTION("IF(ISNUMBER(F20), IF(ISNUMBER(G20), G20 - F20, TODAY() - F20),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20" s="15" t="str">
        <f>IFERROR(__xludf.DUMMYFUNCTION("IF(AND(LEN(A20&amp;"""")-LEN(SUBSTITUTE(A20&amp;"""", ""."", """")) = 2, REGEXMATCH(A20&amp;"""", ""^(1\.|2\.|3\.|4\.1\.)"")), 1 / SUMPRODUCT(--(LEN($A$9:$A$200&amp;"""")-LEN(SUBSTITUTE($A$9:$A$200&amp;"""", ""."", """")) = 2), --REGEXMATCH($A$9:$A$200&amp;"""", ""^(1\.|2\.|3\.|"&amp;"4\.1\.)"")), """")"),"")</f>
        <v/>
      </c>
      <c r="N20" s="15" t="str">
        <f>IFERROR(__xludf.DUMMYFUNCTION("IF(AND(LEN(A20&amp;"""")-LEN(SUBSTITUTE(A20&amp;"""", ""."", """")) = 2, REGEXMATCH(A20&amp;"""", ""^(4\.2\.|4\.3\.)"")), 1 / SUMPRODUCT(--(LEN($A$9:$A$200&amp;"""")-LEN(SUBSTITUTE($A$9:$A$200&amp;"""", ""."", """")) = 2), --REGEXMATCH($A$9:$A$200&amp;"""", ""^(4\.2\.|4\.3\.)"")"&amp;"), """")"),"")</f>
        <v/>
      </c>
      <c r="O20" s="15" t="str">
        <f>IFERROR(__xludf.DUMMYFUNCTION("IF(AND(LEN(A20&amp;"""")-LEN(SUBSTITUTE(A20&amp;"""", ""."", """")) = 2, REGEXMATCH(A20&amp;"""", ""^4\.4\."")), 1 / SUMPRODUCT(--(LEN($A$9:$A$200&amp;"""")-LEN(SUBSTITUTE($A$9:$A$200&amp;"""", ""."", """")) = 2), --REGEXMATCH($A$9:$A$200&amp;"""", ""^4\.4\."")), """")"),"")</f>
        <v/>
      </c>
      <c r="P20" s="15" t="str">
        <f>IFERROR(__xludf.DUMMYFUNCTION("IF(AND(LEN(A20&amp;"""")-LEN(SUBSTITUTE(A20&amp;"""", ""."", """")) = 2, REGEXMATCH(A20&amp;"""", ""^4\.5\.[1-3]$"")), 1 / SUMPRODUCT(--(LEN($A$9:$A$200&amp;"""")-LEN(SUBSTITUTE($A$9:$A$200&amp;"""", ""."", """")) = 2), --REGEXMATCH($A$9:$A$200&amp;"""", ""^4\.5\.[1-3]$"")), """&amp;""")"),"")</f>
        <v/>
      </c>
      <c r="Q20" s="15" t="str">
        <f>IFERROR(__xludf.DUMMYFUNCTION("IF(AND(LEN(A20&amp;"""")-LEN(SUBSTITUTE(A20&amp;"""", ""."", """")) = 2, REGEXMATCH(A20&amp;"""", ""^(4\.5\.[4-9]$|4\.6\.|5\.)"")), 1 / SUMPRODUCT(--(LEN($A$9:$A$200&amp;"""")-LEN(SUBSTITUTE($A$9:$A$200&amp;"""", ""."", """")) = 2), --REGEXMATCH($A$9:$A$200&amp;"""", ""^(4\.5\.["&amp;"4-9]$|4\.6\.|5\.)"")), """")"),"")</f>
        <v/>
      </c>
      <c r="R20" s="12" t="str">
        <f t="shared" si="1"/>
        <v>agosto 2026</v>
      </c>
      <c r="S20" s="12" t="str">
        <f t="shared" si="2"/>
        <v>agosto 2026</v>
      </c>
    </row>
    <row r="21">
      <c r="A21" s="46">
        <v>3.1</v>
      </c>
      <c r="B21" s="47" t="s">
        <v>116</v>
      </c>
      <c r="C21" s="49" t="s">
        <v>32</v>
      </c>
      <c r="D21" s="50">
        <v>46233.0</v>
      </c>
      <c r="E21" s="50">
        <v>46248.0</v>
      </c>
      <c r="F21" s="50">
        <v>46234.0</v>
      </c>
      <c r="G21" s="50">
        <v>46248.0</v>
      </c>
      <c r="H21" s="51"/>
      <c r="I21" s="68">
        <v>1.0</v>
      </c>
      <c r="J21" s="54">
        <f>IFERROR(__xludf.DUMMYFUNCTION("IF(OR(D21="""", E21=""""),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E21 - D21)"),15.0)</f>
        <v>15</v>
      </c>
      <c r="K21" s="55">
        <f>IFERROR(__xludf.DUMMYFUNCTION("IF(ISNUMBER(F21), IF(ISNUMBER(G21), G21 - F21, TODAY() - F21),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21" s="15" t="str">
        <f>IFERROR(__xludf.DUMMYFUNCTION("IF(AND(LEN(A21&amp;"""")-LEN(SUBSTITUTE(A21&amp;"""", ""."", """")) = 2, REGEXMATCH(A21&amp;"""", ""^(1\.|2\.|3\.|4\.1\.)"")), 1 / SUMPRODUCT(--(LEN($A$9:$A$200&amp;"""")-LEN(SUBSTITUTE($A$9:$A$200&amp;"""", ""."", """")) = 2), --REGEXMATCH($A$9:$A$200&amp;"""", ""^(1\.|2\.|3\.|"&amp;"4\.1\.)"")), """")"),"")</f>
        <v/>
      </c>
      <c r="N21" s="15" t="str">
        <f>IFERROR(__xludf.DUMMYFUNCTION("IF(AND(LEN(A21&amp;"""")-LEN(SUBSTITUTE(A21&amp;"""", ""."", """")) = 2, REGEXMATCH(A21&amp;"""", ""^(4\.2\.|4\.3\.)"")), 1 / SUMPRODUCT(--(LEN($A$9:$A$200&amp;"""")-LEN(SUBSTITUTE($A$9:$A$200&amp;"""", ""."", """")) = 2), --REGEXMATCH($A$9:$A$200&amp;"""", ""^(4\.2\.|4\.3\.)"")"&amp;"), """")"),"")</f>
        <v/>
      </c>
      <c r="O21" s="15" t="str">
        <f>IFERROR(__xludf.DUMMYFUNCTION("IF(AND(LEN(A21&amp;"""")-LEN(SUBSTITUTE(A21&amp;"""", ""."", """")) = 2, REGEXMATCH(A21&amp;"""", ""^4\.4\."")), 1 / SUMPRODUCT(--(LEN($A$9:$A$200&amp;"""")-LEN(SUBSTITUTE($A$9:$A$200&amp;"""", ""."", """")) = 2), --REGEXMATCH($A$9:$A$200&amp;"""", ""^4\.4\."")), """")"),"")</f>
        <v/>
      </c>
      <c r="P21" s="15" t="str">
        <f>IFERROR(__xludf.DUMMYFUNCTION("IF(AND(LEN(A21&amp;"""")-LEN(SUBSTITUTE(A21&amp;"""", ""."", """")) = 2, REGEXMATCH(A21&amp;"""", ""^4\.5\.[1-3]$"")), 1 / SUMPRODUCT(--(LEN($A$9:$A$200&amp;"""")-LEN(SUBSTITUTE($A$9:$A$200&amp;"""", ""."", """")) = 2), --REGEXMATCH($A$9:$A$200&amp;"""", ""^4\.5\.[1-3]$"")), """&amp;""")"),"")</f>
        <v/>
      </c>
      <c r="Q21" s="15" t="str">
        <f>IFERROR(__xludf.DUMMYFUNCTION("IF(AND(LEN(A21&amp;"""")-LEN(SUBSTITUTE(A21&amp;"""", ""."", """")) = 2, REGEXMATCH(A21&amp;"""", ""^(4\.5\.[4-9]$|4\.6\.|5\.)"")), 1 / SUMPRODUCT(--(LEN($A$9:$A$200&amp;"""")-LEN(SUBSTITUTE($A$9:$A$200&amp;"""", ""."", """")) = 2), --REGEXMATCH($A$9:$A$200&amp;"""", ""^(4\.5\.["&amp;"4-9]$|4\.6\.|5\.)"")), """")"),"")</f>
        <v/>
      </c>
      <c r="R21" s="12" t="str">
        <f t="shared" si="1"/>
        <v>agosto 2026</v>
      </c>
      <c r="S21" s="12" t="str">
        <f t="shared" si="2"/>
        <v>agosto 2026</v>
      </c>
    </row>
    <row r="22">
      <c r="A22" s="46" t="s">
        <v>133</v>
      </c>
      <c r="B22" s="47" t="s">
        <v>134</v>
      </c>
      <c r="C22" s="49" t="s">
        <v>32</v>
      </c>
      <c r="D22" s="50">
        <v>46233.0</v>
      </c>
      <c r="E22" s="50">
        <v>46248.0</v>
      </c>
      <c r="F22" s="50">
        <v>46234.0</v>
      </c>
      <c r="G22" s="50">
        <v>46248.0</v>
      </c>
      <c r="H22" s="51"/>
      <c r="I22" s="68">
        <v>1.0</v>
      </c>
      <c r="J22" s="54">
        <f>IFERROR(__xludf.DUMMYFUNCTION("IF(OR(D22="""", E22=""""),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E22 - D22)"),15.0)</f>
        <v>15</v>
      </c>
      <c r="K22" s="55">
        <f>IFERROR(__xludf.DUMMYFUNCTION("IF(ISNUMBER(F22), IF(ISNUMBER(G22), G22 - F22, TODAY() - F22),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22" s="15">
        <f>IFERROR(__xludf.DUMMYFUNCTION("IF(AND(LEN(A22&amp;"""")-LEN(SUBSTITUTE(A22&amp;"""", ""."", """")) = 2, REGEXMATCH(A22&amp;"""",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22" s="15" t="str">
        <f>IFERROR(__xludf.DUMMYFUNCTION("IF(AND(LEN(A22&amp;"""")-LEN(SUBSTITUTE(A22&amp;"""", ""."", """")) = 2, REGEXMATCH(A22&amp;"""", ""^(4\.2\.|4\.3\.)"")), 1 / SUMPRODUCT(--(LEN($A$9:$A$200&amp;"""")-LEN(SUBSTITUTE($A$9:$A$200&amp;"""", ""."", """")) = 2), --REGEXMATCH($A$9:$A$200&amp;"""", ""^(4\.2\.|4\.3\.)"")"&amp;"), """")"),"")</f>
        <v/>
      </c>
      <c r="O22" s="15" t="str">
        <f>IFERROR(__xludf.DUMMYFUNCTION("IF(AND(LEN(A22&amp;"""")-LEN(SUBSTITUTE(A22&amp;"""", ""."", """")) = 2, REGEXMATCH(A22&amp;"""", ""^4\.4\."")), 1 / SUMPRODUCT(--(LEN($A$9:$A$200&amp;"""")-LEN(SUBSTITUTE($A$9:$A$200&amp;"""", ""."", """")) = 2), --REGEXMATCH($A$9:$A$200&amp;"""", ""^4\.4\."")), """")"),"")</f>
        <v/>
      </c>
      <c r="P22" s="15" t="str">
        <f>IFERROR(__xludf.DUMMYFUNCTION("IF(AND(LEN(A22&amp;"""")-LEN(SUBSTITUTE(A22&amp;"""", ""."", """")) = 2, REGEXMATCH(A22&amp;"""", ""^4\.5\.[1-3]$"")), 1 / SUMPRODUCT(--(LEN($A$9:$A$200&amp;"""")-LEN(SUBSTITUTE($A$9:$A$200&amp;"""", ""."", """")) = 2), --REGEXMATCH($A$9:$A$200&amp;"""", ""^4\.5\.[1-3]$"")), """&amp;""")"),"")</f>
        <v/>
      </c>
      <c r="Q22" s="15" t="str">
        <f>IFERROR(__xludf.DUMMYFUNCTION("IF(AND(LEN(A22&amp;"""")-LEN(SUBSTITUTE(A22&amp;"""", ""."", """")) = 2, REGEXMATCH(A22&amp;"""", ""^(4\.5\.[4-9]$|4\.6\.|5\.)"")), 1 / SUMPRODUCT(--(LEN($A$9:$A$200&amp;"""")-LEN(SUBSTITUTE($A$9:$A$200&amp;"""", ""."", """")) = 2), --REGEXMATCH($A$9:$A$200&amp;"""", ""^(4\.5\.["&amp;"4-9]$|4\.6\.|5\.)"")), """")"),"")</f>
        <v/>
      </c>
      <c r="R22" s="12" t="str">
        <f t="shared" si="1"/>
        <v>agosto 2026</v>
      </c>
      <c r="S22" s="12" t="str">
        <f t="shared" si="2"/>
        <v>agosto 2026</v>
      </c>
    </row>
    <row r="23">
      <c r="A23" s="46" t="s">
        <v>139</v>
      </c>
      <c r="B23" s="47" t="s">
        <v>140</v>
      </c>
      <c r="C23" s="49" t="s">
        <v>32</v>
      </c>
      <c r="D23" s="50">
        <v>46233.0</v>
      </c>
      <c r="E23" s="50">
        <v>46248.0</v>
      </c>
      <c r="F23" s="50">
        <v>46234.0</v>
      </c>
      <c r="G23" s="50">
        <v>46248.0</v>
      </c>
      <c r="H23" s="51"/>
      <c r="I23" s="68">
        <v>1.0</v>
      </c>
      <c r="J23" s="54">
        <f>IFERROR(__xludf.DUMMYFUNCTION("IF(OR(D23="""", E23=""""),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E23 - D23)"),15.0)</f>
        <v>15</v>
      </c>
      <c r="K23" s="55">
        <f>IFERROR(__xludf.DUMMYFUNCTION("IF(ISNUMBER(F23), IF(ISNUMBER(G23), G23 - F23, TODAY() - F23),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23" s="15">
        <f>IFERROR(__xludf.DUMMYFUNCTION("IF(AND(LEN(A23&amp;"""")-LEN(SUBSTITUTE(A23&amp;"""", ""."", """")) = 2, REGEXMATCH(A23&amp;"""",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23" s="15" t="str">
        <f>IFERROR(__xludf.DUMMYFUNCTION("IF(AND(LEN(A23&amp;"""")-LEN(SUBSTITUTE(A23&amp;"""", ""."", """")) = 2, REGEXMATCH(A23&amp;"""", ""^(4\.2\.|4\.3\.)"")), 1 / SUMPRODUCT(--(LEN($A$9:$A$200&amp;"""")-LEN(SUBSTITUTE($A$9:$A$200&amp;"""", ""."", """")) = 2), --REGEXMATCH($A$9:$A$200&amp;"""", ""^(4\.2\.|4\.3\.)"")"&amp;"), """")"),"")</f>
        <v/>
      </c>
      <c r="O23" s="15" t="str">
        <f>IFERROR(__xludf.DUMMYFUNCTION("IF(AND(LEN(A23&amp;"""")-LEN(SUBSTITUTE(A23&amp;"""", ""."", """")) = 2, REGEXMATCH(A23&amp;"""", ""^4\.4\."")), 1 / SUMPRODUCT(--(LEN($A$9:$A$200&amp;"""")-LEN(SUBSTITUTE($A$9:$A$200&amp;"""", ""."", """")) = 2), --REGEXMATCH($A$9:$A$200&amp;"""", ""^4\.4\."")), """")"),"")</f>
        <v/>
      </c>
      <c r="P23" s="15" t="str">
        <f>IFERROR(__xludf.DUMMYFUNCTION("IF(AND(LEN(A23&amp;"""")-LEN(SUBSTITUTE(A23&amp;"""", ""."", """")) = 2, REGEXMATCH(A23&amp;"""", ""^4\.5\.[1-3]$"")), 1 / SUMPRODUCT(--(LEN($A$9:$A$200&amp;"""")-LEN(SUBSTITUTE($A$9:$A$200&amp;"""", ""."", """")) = 2), --REGEXMATCH($A$9:$A$200&amp;"""", ""^4\.5\.[1-3]$"")), """&amp;""")"),"")</f>
        <v/>
      </c>
      <c r="Q23" s="15" t="str">
        <f>IFERROR(__xludf.DUMMYFUNCTION("IF(AND(LEN(A23&amp;"""")-LEN(SUBSTITUTE(A23&amp;"""", ""."", """")) = 2, REGEXMATCH(A23&amp;"""", ""^(4\.5\.[4-9]$|4\.6\.|5\.)"")), 1 / SUMPRODUCT(--(LEN($A$9:$A$200&amp;"""")-LEN(SUBSTITUTE($A$9:$A$200&amp;"""", ""."", """")) = 2), --REGEXMATCH($A$9:$A$200&amp;"""", ""^(4\.5\.["&amp;"4-9]$|4\.6\.|5\.)"")), """")"),"")</f>
        <v/>
      </c>
      <c r="R23" s="12" t="str">
        <f t="shared" si="1"/>
        <v>agosto 2026</v>
      </c>
      <c r="S23" s="12" t="str">
        <f t="shared" si="2"/>
        <v>agosto 2026</v>
      </c>
      <c r="U23" s="33" t="s">
        <v>143</v>
      </c>
    </row>
    <row r="24">
      <c r="A24" s="46" t="s">
        <v>144</v>
      </c>
      <c r="B24" s="47" t="s">
        <v>145</v>
      </c>
      <c r="C24" s="49" t="s">
        <v>32</v>
      </c>
      <c r="D24" s="50">
        <v>46233.0</v>
      </c>
      <c r="E24" s="50">
        <v>46248.0</v>
      </c>
      <c r="F24" s="50">
        <v>46234.0</v>
      </c>
      <c r="G24" s="50">
        <v>46248.0</v>
      </c>
      <c r="H24" s="92"/>
      <c r="I24" s="68">
        <v>1.0</v>
      </c>
      <c r="J24" s="54">
        <f>IFERROR(__xludf.DUMMYFUNCTION("IF(OR(D24="""", E24=""""),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E24 - D24)"),15.0)</f>
        <v>15</v>
      </c>
      <c r="K24" s="55">
        <f>IFERROR(__xludf.DUMMYFUNCTION("IF(ISNUMBER(F24), IF(ISNUMBER(G24), G24 - F24, TODAY() - F24),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24" s="15">
        <f>IFERROR(__xludf.DUMMYFUNCTION("IF(AND(LEN(A24&amp;"""")-LEN(SUBSTITUTE(A24&amp;"""", ""."", """")) = 2, REGEXMATCH(A24&amp;"""",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24" s="15" t="str">
        <f>IFERROR(__xludf.DUMMYFUNCTION("IF(AND(LEN(A24&amp;"""")-LEN(SUBSTITUTE(A24&amp;"""", ""."", """")) = 2, REGEXMATCH(A24&amp;"""", ""^(4\.2\.|4\.3\.)"")), 1 / SUMPRODUCT(--(LEN($A$9:$A$200&amp;"""")-LEN(SUBSTITUTE($A$9:$A$200&amp;"""", ""."", """")) = 2), --REGEXMATCH($A$9:$A$200&amp;"""", ""^(4\.2\.|4\.3\.)"")"&amp;"), """")"),"")</f>
        <v/>
      </c>
      <c r="O24" s="15" t="str">
        <f>IFERROR(__xludf.DUMMYFUNCTION("IF(AND(LEN(A24&amp;"""")-LEN(SUBSTITUTE(A24&amp;"""", ""."", """")) = 2, REGEXMATCH(A24&amp;"""", ""^4\.4\."")), 1 / SUMPRODUCT(--(LEN($A$9:$A$200&amp;"""")-LEN(SUBSTITUTE($A$9:$A$200&amp;"""", ""."", """")) = 2), --REGEXMATCH($A$9:$A$200&amp;"""", ""^4\.4\."")), """")"),"")</f>
        <v/>
      </c>
      <c r="P24" s="15" t="str">
        <f>IFERROR(__xludf.DUMMYFUNCTION("IF(AND(LEN(A24&amp;"""")-LEN(SUBSTITUTE(A24&amp;"""", ""."", """")) = 2, REGEXMATCH(A24&amp;"""", ""^4\.5\.[1-3]$"")), 1 / SUMPRODUCT(--(LEN($A$9:$A$200&amp;"""")-LEN(SUBSTITUTE($A$9:$A$200&amp;"""", ""."", """")) = 2), --REGEXMATCH($A$9:$A$200&amp;"""", ""^4\.5\.[1-3]$"")), """&amp;""")"),"")</f>
        <v/>
      </c>
      <c r="Q24" s="15" t="str">
        <f>IFERROR(__xludf.DUMMYFUNCTION("IF(AND(LEN(A24&amp;"""")-LEN(SUBSTITUTE(A24&amp;"""", ""."", """")) = 2, REGEXMATCH(A24&amp;"""", ""^(4\.5\.[4-9]$|4\.6\.|5\.)"")), 1 / SUMPRODUCT(--(LEN($A$9:$A$200&amp;"""")-LEN(SUBSTITUTE($A$9:$A$200&amp;"""", ""."", """")) = 2), --REGEXMATCH($A$9:$A$200&amp;"""", ""^(4\.5\.["&amp;"4-9]$|4\.6\.|5\.)"")), """")"),"")</f>
        <v/>
      </c>
      <c r="R24" s="12" t="str">
        <f t="shared" si="1"/>
        <v>agosto 2026</v>
      </c>
      <c r="S24" s="12" t="str">
        <f t="shared" si="2"/>
        <v>agosto 2026</v>
      </c>
      <c r="U24" s="43" t="s">
        <v>51</v>
      </c>
      <c r="V24" s="43" t="s">
        <v>52</v>
      </c>
      <c r="W24" s="43" t="s">
        <v>54</v>
      </c>
      <c r="X24" s="43"/>
      <c r="Y24" s="43" t="s">
        <v>51</v>
      </c>
      <c r="Z24" s="43" t="s">
        <v>55</v>
      </c>
      <c r="AA24" s="43" t="s">
        <v>56</v>
      </c>
    </row>
    <row r="25">
      <c r="A25" s="46" t="s">
        <v>150</v>
      </c>
      <c r="B25" s="47" t="s">
        <v>152</v>
      </c>
      <c r="C25" s="49" t="s">
        <v>32</v>
      </c>
      <c r="D25" s="50">
        <v>46233.0</v>
      </c>
      <c r="E25" s="50">
        <v>46248.0</v>
      </c>
      <c r="F25" s="50">
        <v>46234.0</v>
      </c>
      <c r="G25" s="50">
        <v>46248.0</v>
      </c>
      <c r="H25" s="92"/>
      <c r="I25" s="68">
        <v>1.0</v>
      </c>
      <c r="J25" s="54">
        <f>IFERROR(__xludf.DUMMYFUNCTION("IF(OR(D25="""", E25=""""),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E25 - D25)"),15.0)</f>
        <v>15</v>
      </c>
      <c r="K25" s="55">
        <f>IFERROR(__xludf.DUMMYFUNCTION("IF(ISNUMBER(F25), IF(ISNUMBER(G25), G25 - F25, TODAY() - F25),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25" s="15">
        <f>IFERROR(__xludf.DUMMYFUNCTION("IF(AND(LEN(A25&amp;"""")-LEN(SUBSTITUTE(A25&amp;"""", ""."", """")) = 2, REGEXMATCH(A25&amp;"""",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25" s="15" t="str">
        <f>IFERROR(__xludf.DUMMYFUNCTION("IF(AND(LEN(A25&amp;"""")-LEN(SUBSTITUTE(A25&amp;"""", ""."", """")) = 2, REGEXMATCH(A25&amp;"""", ""^(4\.2\.|4\.3\.)"")), 1 / SUMPRODUCT(--(LEN($A$9:$A$200&amp;"""")-LEN(SUBSTITUTE($A$9:$A$200&amp;"""", ""."", """")) = 2), --REGEXMATCH($A$9:$A$200&amp;"""", ""^(4\.2\.|4\.3\.)"")"&amp;"), """")"),"")</f>
        <v/>
      </c>
      <c r="O25" s="15" t="str">
        <f>IFERROR(__xludf.DUMMYFUNCTION("IF(AND(LEN(A25&amp;"""")-LEN(SUBSTITUTE(A25&amp;"""", ""."", """")) = 2, REGEXMATCH(A25&amp;"""", ""^4\.4\."")), 1 / SUMPRODUCT(--(LEN($A$9:$A$200&amp;"""")-LEN(SUBSTITUTE($A$9:$A$200&amp;"""", ""."", """")) = 2), --REGEXMATCH($A$9:$A$200&amp;"""", ""^4\.4\."")), """")"),"")</f>
        <v/>
      </c>
      <c r="P25" s="15" t="str">
        <f>IFERROR(__xludf.DUMMYFUNCTION("IF(AND(LEN(A25&amp;"""")-LEN(SUBSTITUTE(A25&amp;"""", ""."", """")) = 2, REGEXMATCH(A25&amp;"""", ""^4\.5\.[1-3]$"")), 1 / SUMPRODUCT(--(LEN($A$9:$A$200&amp;"""")-LEN(SUBSTITUTE($A$9:$A$200&amp;"""", ""."", """")) = 2), --REGEXMATCH($A$9:$A$200&amp;"""", ""^4\.5\.[1-3]$"")), """&amp;""")"),"")</f>
        <v/>
      </c>
      <c r="Q25" s="15" t="str">
        <f>IFERROR(__xludf.DUMMYFUNCTION("IF(AND(LEN(A25&amp;"""")-LEN(SUBSTITUTE(A25&amp;"""", ""."", """")) = 2, REGEXMATCH(A25&amp;"""", ""^(4\.5\.[4-9]$|4\.6\.|5\.)"")), 1 / SUMPRODUCT(--(LEN($A$9:$A$200&amp;"""")-LEN(SUBSTITUTE($A$9:$A$200&amp;"""", ""."", """")) = 2), --REGEXMATCH($A$9:$A$200&amp;"""", ""^(4\.5\.["&amp;"4-9]$|4\.6\.|5\.)"")), """")"),"")</f>
        <v/>
      </c>
      <c r="R25" s="12" t="str">
        <f t="shared" si="1"/>
        <v>agosto 2026</v>
      </c>
      <c r="S25" s="12" t="str">
        <f t="shared" si="2"/>
        <v>agosto 2026</v>
      </c>
      <c r="U25" s="12" t="s">
        <v>11</v>
      </c>
      <c r="V25" s="15">
        <v>0.18181818181818182</v>
      </c>
      <c r="W25" s="15">
        <f>V25</f>
        <v>0.1818181818</v>
      </c>
      <c r="Y25" s="12" t="s">
        <v>11</v>
      </c>
      <c r="Z25" s="15">
        <v>0.18181818181818182</v>
      </c>
      <c r="AA25" s="15">
        <f>Z25</f>
        <v>0.1818181818</v>
      </c>
    </row>
    <row r="26">
      <c r="A26" s="46" t="s">
        <v>154</v>
      </c>
      <c r="B26" s="47" t="s">
        <v>155</v>
      </c>
      <c r="C26" s="49" t="s">
        <v>32</v>
      </c>
      <c r="D26" s="50">
        <v>46233.0</v>
      </c>
      <c r="E26" s="50">
        <v>46248.0</v>
      </c>
      <c r="F26" s="50">
        <v>46234.0</v>
      </c>
      <c r="G26" s="50">
        <v>46248.0</v>
      </c>
      <c r="H26" s="92"/>
      <c r="I26" s="68">
        <v>1.0</v>
      </c>
      <c r="J26" s="54">
        <f>IFERROR(__xludf.DUMMYFUNCTION("IF(OR(D26="""", E26=""""),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E26 - D26)"),15.0)</f>
        <v>15</v>
      </c>
      <c r="K26" s="55">
        <f>IFERROR(__xludf.DUMMYFUNCTION("IF(ISNUMBER(F26), IF(ISNUMBER(G26), G26 - F26, TODAY() - F26),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26" s="15">
        <f>IFERROR(__xludf.DUMMYFUNCTION("IF(AND(LEN(A26&amp;"""")-LEN(SUBSTITUTE(A26&amp;"""", ""."", """")) = 2, REGEXMATCH(A26&amp;"""",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26" s="15" t="str">
        <f>IFERROR(__xludf.DUMMYFUNCTION("IF(AND(LEN(A26&amp;"""")-LEN(SUBSTITUTE(A26&amp;"""", ""."", """")) = 2, REGEXMATCH(A26&amp;"""", ""^(4\.2\.|4\.3\.)"")), 1 / SUMPRODUCT(--(LEN($A$9:$A$200&amp;"""")-LEN(SUBSTITUTE($A$9:$A$200&amp;"""", ""."", """")) = 2), --REGEXMATCH($A$9:$A$200&amp;"""", ""^(4\.2\.|4\.3\.)"")"&amp;"), """")"),"")</f>
        <v/>
      </c>
      <c r="O26" s="15" t="str">
        <f>IFERROR(__xludf.DUMMYFUNCTION("IF(AND(LEN(A26&amp;"""")-LEN(SUBSTITUTE(A26&amp;"""", ""."", """")) = 2, REGEXMATCH(A26&amp;"""", ""^4\.4\."")), 1 / SUMPRODUCT(--(LEN($A$9:$A$200&amp;"""")-LEN(SUBSTITUTE($A$9:$A$200&amp;"""", ""."", """")) = 2), --REGEXMATCH($A$9:$A$200&amp;"""", ""^4\.4\."")), """")"),"")</f>
        <v/>
      </c>
      <c r="P26" s="15" t="str">
        <f>IFERROR(__xludf.DUMMYFUNCTION("IF(AND(LEN(A26&amp;"""")-LEN(SUBSTITUTE(A26&amp;"""", ""."", """")) = 2, REGEXMATCH(A26&amp;"""", ""^4\.5\.[1-3]$"")), 1 / SUMPRODUCT(--(LEN($A$9:$A$200&amp;"""")-LEN(SUBSTITUTE($A$9:$A$200&amp;"""", ""."", """")) = 2), --REGEXMATCH($A$9:$A$200&amp;"""", ""^4\.5\.[1-3]$"")), """&amp;""")"),"")</f>
        <v/>
      </c>
      <c r="Q26" s="15" t="str">
        <f>IFERROR(__xludf.DUMMYFUNCTION("IF(AND(LEN(A26&amp;"""")-LEN(SUBSTITUTE(A26&amp;"""", ""."", """")) = 2, REGEXMATCH(A26&amp;"""", ""^(4\.5\.[4-9]$|4\.6\.|5\.)"")), 1 / SUMPRODUCT(--(LEN($A$9:$A$200&amp;"""")-LEN(SUBSTITUTE($A$9:$A$200&amp;"""", ""."", """")) = 2), --REGEXMATCH($A$9:$A$200&amp;"""", ""^(4\.5\.["&amp;"4-9]$|4\.6\.|5\.)"")), """")"),"")</f>
        <v/>
      </c>
      <c r="R26" s="12" t="str">
        <f t="shared" si="1"/>
        <v>agosto 2026</v>
      </c>
      <c r="S26" s="12" t="str">
        <f t="shared" si="2"/>
        <v>agosto 2026</v>
      </c>
      <c r="U26" s="12" t="s">
        <v>19</v>
      </c>
      <c r="V26" s="15">
        <v>0.2727272727272727</v>
      </c>
      <c r="W26" s="15">
        <f t="shared" ref="W26:W28" si="5">V26+W25</f>
        <v>0.4545454545</v>
      </c>
      <c r="Y26" s="12" t="s">
        <v>19</v>
      </c>
      <c r="Z26" s="15">
        <v>0.6363636363636365</v>
      </c>
      <c r="AA26" s="15">
        <f t="shared" ref="AA26:AA27" si="6">Z26+AA25</f>
        <v>0.8181818182</v>
      </c>
    </row>
    <row r="27">
      <c r="A27" s="46" t="s">
        <v>158</v>
      </c>
      <c r="B27" s="47" t="s">
        <v>159</v>
      </c>
      <c r="C27" s="49" t="s">
        <v>32</v>
      </c>
      <c r="D27" s="50">
        <v>46233.0</v>
      </c>
      <c r="E27" s="50">
        <v>46248.0</v>
      </c>
      <c r="F27" s="50">
        <v>46234.0</v>
      </c>
      <c r="G27" s="50">
        <v>46248.0</v>
      </c>
      <c r="H27" s="92"/>
      <c r="I27" s="68">
        <v>1.0</v>
      </c>
      <c r="J27" s="54">
        <f>IFERROR(__xludf.DUMMYFUNCTION("IF(OR(D27="""", E27=""""),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E27 - D27)"),15.0)</f>
        <v>15</v>
      </c>
      <c r="K27" s="55">
        <f>IFERROR(__xludf.DUMMYFUNCTION("IF(ISNUMBER(F27), IF(ISNUMBER(G27), G27 - F27, TODAY() - F27),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27" s="15">
        <f>IFERROR(__xludf.DUMMYFUNCTION("IF(AND(LEN(A27&amp;"""")-LEN(SUBSTITUTE(A27&amp;"""", ""."", """")) = 2, REGEXMATCH(A27&amp;"""",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27" s="15" t="str">
        <f>IFERROR(__xludf.DUMMYFUNCTION("IF(AND(LEN(A27&amp;"""")-LEN(SUBSTITUTE(A27&amp;"""", ""."", """")) = 2, REGEXMATCH(A27&amp;"""", ""^(4\.2\.|4\.3\.)"")), 1 / SUMPRODUCT(--(LEN($A$9:$A$200&amp;"""")-LEN(SUBSTITUTE($A$9:$A$200&amp;"""", ""."", """")) = 2), --REGEXMATCH($A$9:$A$200&amp;"""", ""^(4\.2\.|4\.3\.)"")"&amp;"), """")"),"")</f>
        <v/>
      </c>
      <c r="O27" s="15" t="str">
        <f>IFERROR(__xludf.DUMMYFUNCTION("IF(AND(LEN(A27&amp;"""")-LEN(SUBSTITUTE(A27&amp;"""", ""."", """")) = 2, REGEXMATCH(A27&amp;"""", ""^4\.4\."")), 1 / SUMPRODUCT(--(LEN($A$9:$A$200&amp;"""")-LEN(SUBSTITUTE($A$9:$A$200&amp;"""", ""."", """")) = 2), --REGEXMATCH($A$9:$A$200&amp;"""", ""^4\.4\."")), """")"),"")</f>
        <v/>
      </c>
      <c r="P27" s="15" t="str">
        <f>IFERROR(__xludf.DUMMYFUNCTION("IF(AND(LEN(A27&amp;"""")-LEN(SUBSTITUTE(A27&amp;"""", ""."", """")) = 2, REGEXMATCH(A27&amp;"""", ""^4\.5\.[1-3]$"")), 1 / SUMPRODUCT(--(LEN($A$9:$A$200&amp;"""")-LEN(SUBSTITUTE($A$9:$A$200&amp;"""", ""."", """")) = 2), --REGEXMATCH($A$9:$A$200&amp;"""", ""^4\.5\.[1-3]$"")), """&amp;""")"),"")</f>
        <v/>
      </c>
      <c r="Q27" s="15" t="str">
        <f>IFERROR(__xludf.DUMMYFUNCTION("IF(AND(LEN(A27&amp;"""")-LEN(SUBSTITUTE(A27&amp;"""", ""."", """")) = 2, REGEXMATCH(A27&amp;"""", ""^(4\.5\.[4-9]$|4\.6\.|5\.)"")), 1 / SUMPRODUCT(--(LEN($A$9:$A$200&amp;"""")-LEN(SUBSTITUTE($A$9:$A$200&amp;"""", ""."", """")) = 2), --REGEXMATCH($A$9:$A$200&amp;"""", ""^(4\.5\.["&amp;"4-9]$|4\.6\.|5\.)"")), """")"),"")</f>
        <v/>
      </c>
      <c r="R27" s="12" t="str">
        <f t="shared" si="1"/>
        <v>agosto 2026</v>
      </c>
      <c r="S27" s="12" t="str">
        <f t="shared" si="2"/>
        <v>agosto 2026</v>
      </c>
      <c r="U27" s="12" t="s">
        <v>17</v>
      </c>
      <c r="V27" s="15">
        <v>0.36363636363636365</v>
      </c>
      <c r="W27" s="15">
        <f t="shared" si="5"/>
        <v>0.8181818182</v>
      </c>
      <c r="Y27" s="12" t="s">
        <v>17</v>
      </c>
      <c r="Z27" s="15">
        <v>0.0</v>
      </c>
      <c r="AA27" s="15">
        <f t="shared" si="6"/>
        <v>0.8181818182</v>
      </c>
    </row>
    <row r="28">
      <c r="A28" s="46">
        <v>3.2</v>
      </c>
      <c r="B28" s="47" t="s">
        <v>161</v>
      </c>
      <c r="C28" s="49" t="s">
        <v>32</v>
      </c>
      <c r="D28" s="50">
        <v>46233.0</v>
      </c>
      <c r="E28" s="50">
        <v>46248.0</v>
      </c>
      <c r="F28" s="50">
        <v>46234.0</v>
      </c>
      <c r="G28" s="50">
        <v>46248.0</v>
      </c>
      <c r="H28" s="95"/>
      <c r="I28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0)"),1.0)</f>
        <v>1</v>
      </c>
      <c r="J28" s="54">
        <f>IFERROR(__xludf.DUMMYFUNCTION("IF(OR(D28="""", E28=""""),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E28 - D28)"),15.0)</f>
        <v>15</v>
      </c>
      <c r="K28" s="55">
        <f>IFERROR(__xludf.DUMMYFUNCTION("IF(ISNUMBER(F28), IF(ISNUMBER(G28), G28 - F28, TODAY() - F28),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28" s="15" t="str">
        <f>IFERROR(__xludf.DUMMYFUNCTION("IF(AND(LEN(A28&amp;"""")-LEN(SUBSTITUTE(A28&amp;"""", ""."", """")) = 2, REGEXMATCH(A28&amp;"""", ""^(1\.|2\.|3\.|4\.1\.)"")), 1 / SUMPRODUCT(--(LEN($A$9:$A$200&amp;"""")-LEN(SUBSTITUTE($A$9:$A$200&amp;"""", ""."", """")) = 2), --REGEXMATCH($A$9:$A$200&amp;"""", ""^(1\.|2\.|3\.|"&amp;"4\.1\.)"")), """")"),"")</f>
        <v/>
      </c>
      <c r="N28" s="15" t="str">
        <f>IFERROR(__xludf.DUMMYFUNCTION("IF(AND(LEN(A28&amp;"""")-LEN(SUBSTITUTE(A28&amp;"""", ""."", """")) = 2, REGEXMATCH(A28&amp;"""", ""^(4\.2\.|4\.3\.)"")), 1 / SUMPRODUCT(--(LEN($A$9:$A$200&amp;"""")-LEN(SUBSTITUTE($A$9:$A$200&amp;"""", ""."", """")) = 2), --REGEXMATCH($A$9:$A$200&amp;"""", ""^(4\.2\.|4\.3\.)"")"&amp;"), """")"),"")</f>
        <v/>
      </c>
      <c r="O28" s="15" t="str">
        <f>IFERROR(__xludf.DUMMYFUNCTION("IF(AND(LEN(A28&amp;"""")-LEN(SUBSTITUTE(A28&amp;"""", ""."", """")) = 2, REGEXMATCH(A28&amp;"""", ""^4\.4\."")), 1 / SUMPRODUCT(--(LEN($A$9:$A$200&amp;"""")-LEN(SUBSTITUTE($A$9:$A$200&amp;"""", ""."", """")) = 2), --REGEXMATCH($A$9:$A$200&amp;"""", ""^4\.4\."")), """")"),"")</f>
        <v/>
      </c>
      <c r="P28" s="15" t="str">
        <f>IFERROR(__xludf.DUMMYFUNCTION("IF(AND(LEN(A28&amp;"""")-LEN(SUBSTITUTE(A28&amp;"""", ""."", """")) = 2, REGEXMATCH(A28&amp;"""", ""^4\.5\.[1-3]$"")), 1 / SUMPRODUCT(--(LEN($A$9:$A$200&amp;"""")-LEN(SUBSTITUTE($A$9:$A$200&amp;"""", ""."", """")) = 2), --REGEXMATCH($A$9:$A$200&amp;"""", ""^4\.5\.[1-3]$"")), """&amp;""")"),"")</f>
        <v/>
      </c>
      <c r="Q28" s="15" t="str">
        <f>IFERROR(__xludf.DUMMYFUNCTION("IF(AND(LEN(A28&amp;"""")-LEN(SUBSTITUTE(A28&amp;"""", ""."", """")) = 2, REGEXMATCH(A28&amp;"""", ""^(4\.5\.[4-9]$|4\.6\.|5\.)"")), 1 / SUMPRODUCT(--(LEN($A$9:$A$200&amp;"""")-LEN(SUBSTITUTE($A$9:$A$200&amp;"""", ""."", """")) = 2), --REGEXMATCH($A$9:$A$200&amp;"""", ""^(4\.5\.["&amp;"4-9]$|4\.6\.|5\.)"")), """")"),"")</f>
        <v/>
      </c>
      <c r="R28" s="12" t="str">
        <f t="shared" si="1"/>
        <v>agosto 2026</v>
      </c>
      <c r="S28" s="12" t="str">
        <f t="shared" si="2"/>
        <v>agosto 2026</v>
      </c>
      <c r="U28" s="12" t="s">
        <v>172</v>
      </c>
      <c r="V28" s="15">
        <v>0.18181818181818182</v>
      </c>
      <c r="W28" s="15">
        <f t="shared" si="5"/>
        <v>1</v>
      </c>
    </row>
    <row r="29">
      <c r="A29" s="46" t="s">
        <v>164</v>
      </c>
      <c r="B29" s="47" t="s">
        <v>165</v>
      </c>
      <c r="C29" s="49" t="s">
        <v>32</v>
      </c>
      <c r="D29" s="50">
        <v>46233.0</v>
      </c>
      <c r="E29" s="50">
        <v>46248.0</v>
      </c>
      <c r="F29" s="50">
        <v>46234.0</v>
      </c>
      <c r="G29" s="50">
        <v>46248.0</v>
      </c>
      <c r="H29" s="92"/>
      <c r="I29" s="68">
        <v>1.0</v>
      </c>
      <c r="J29" s="54">
        <f>IFERROR(__xludf.DUMMYFUNCTION("IF(OR(D29="""", E29=""""),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E29 - D29)"),15.0)</f>
        <v>15</v>
      </c>
      <c r="K29" s="55">
        <f>IFERROR(__xludf.DUMMYFUNCTION("IF(ISNUMBER(F29), IF(ISNUMBER(G29), G29 - F29, TODAY() - F29),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29" s="15">
        <f>IFERROR(__xludf.DUMMYFUNCTION("IF(AND(LEN(A29&amp;"""")-LEN(SUBSTITUTE(A29&amp;"""", ""."", """")) = 2, REGEXMATCH(A29&amp;"""",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29" s="15" t="str">
        <f>IFERROR(__xludf.DUMMYFUNCTION("IF(AND(LEN(A29&amp;"""")-LEN(SUBSTITUTE(A29&amp;"""", ""."", """")) = 2, REGEXMATCH(A29&amp;"""", ""^(4\.2\.|4\.3\.)"")), 1 / SUMPRODUCT(--(LEN($A$9:$A$200&amp;"""")-LEN(SUBSTITUTE($A$9:$A$200&amp;"""", ""."", """")) = 2), --REGEXMATCH($A$9:$A$200&amp;"""", ""^(4\.2\.|4\.3\.)"")"&amp;"), """")"),"")</f>
        <v/>
      </c>
      <c r="O29" s="15" t="str">
        <f>IFERROR(__xludf.DUMMYFUNCTION("IF(AND(LEN(A29&amp;"""")-LEN(SUBSTITUTE(A29&amp;"""", ""."", """")) = 2, REGEXMATCH(A29&amp;"""", ""^4\.4\."")), 1 / SUMPRODUCT(--(LEN($A$9:$A$200&amp;"""")-LEN(SUBSTITUTE($A$9:$A$200&amp;"""", ""."", """")) = 2), --REGEXMATCH($A$9:$A$200&amp;"""", ""^4\.4\."")), """")"),"")</f>
        <v/>
      </c>
      <c r="P29" s="15" t="str">
        <f>IFERROR(__xludf.DUMMYFUNCTION("IF(AND(LEN(A29&amp;"""")-LEN(SUBSTITUTE(A29&amp;"""", ""."", """")) = 2, REGEXMATCH(A29&amp;"""", ""^4\.5\.[1-3]$"")), 1 / SUMPRODUCT(--(LEN($A$9:$A$200&amp;"""")-LEN(SUBSTITUTE($A$9:$A$200&amp;"""", ""."", """")) = 2), --REGEXMATCH($A$9:$A$200&amp;"""", ""^4\.5\.[1-3]$"")), """&amp;""")"),"")</f>
        <v/>
      </c>
      <c r="Q29" s="15" t="str">
        <f>IFERROR(__xludf.DUMMYFUNCTION("IF(AND(LEN(A29&amp;"""")-LEN(SUBSTITUTE(A29&amp;"""", ""."", """")) = 2, REGEXMATCH(A29&amp;"""", ""^(4\.5\.[4-9]$|4\.6\.|5\.)"")), 1 / SUMPRODUCT(--(LEN($A$9:$A$200&amp;"""")-LEN(SUBSTITUTE($A$9:$A$200&amp;"""", ""."", """")) = 2), --REGEXMATCH($A$9:$A$200&amp;"""", ""^(4\.5\.["&amp;"4-9]$|4\.6\.|5\.)"")), """")"),"")</f>
        <v/>
      </c>
      <c r="R29" s="12" t="str">
        <f t="shared" si="1"/>
        <v>agosto 2026</v>
      </c>
      <c r="S29" s="12" t="str">
        <f t="shared" si="2"/>
        <v>agosto 2026</v>
      </c>
    </row>
    <row r="30">
      <c r="A30" s="46" t="s">
        <v>167</v>
      </c>
      <c r="B30" s="47" t="s">
        <v>168</v>
      </c>
      <c r="C30" s="49" t="s">
        <v>32</v>
      </c>
      <c r="D30" s="50">
        <v>46233.0</v>
      </c>
      <c r="E30" s="50">
        <v>46248.0</v>
      </c>
      <c r="F30" s="50">
        <v>46234.0</v>
      </c>
      <c r="G30" s="50">
        <v>46248.0</v>
      </c>
      <c r="H30" s="92"/>
      <c r="I30" s="68">
        <v>1.0</v>
      </c>
      <c r="J30" s="54">
        <f>IFERROR(__xludf.DUMMYFUNCTION("IF(OR(D30="""", E30=""""),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E30 - D30)"),15.0)</f>
        <v>15</v>
      </c>
      <c r="K30" s="55">
        <f>IFERROR(__xludf.DUMMYFUNCTION("IF(ISNUMBER(F30), IF(ISNUMBER(G30), G30 - F30, TODAY() - F30),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30" s="15">
        <f>IFERROR(__xludf.DUMMYFUNCTION("IF(AND(LEN(A30&amp;"""")-LEN(SUBSTITUTE(A30&amp;"""", ""."", """")) = 2, REGEXMATCH(A30&amp;"""",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30" s="15" t="str">
        <f>IFERROR(__xludf.DUMMYFUNCTION("IF(AND(LEN(A30&amp;"""")-LEN(SUBSTITUTE(A30&amp;"""", ""."", """")) = 2, REGEXMATCH(A30&amp;"""", ""^(4\.2\.|4\.3\.)"")), 1 / SUMPRODUCT(--(LEN($A$9:$A$200&amp;"""")-LEN(SUBSTITUTE($A$9:$A$200&amp;"""", ""."", """")) = 2), --REGEXMATCH($A$9:$A$200&amp;"""", ""^(4\.2\.|4\.3\.)"")"&amp;"), """")"),"")</f>
        <v/>
      </c>
      <c r="O30" s="15" t="str">
        <f>IFERROR(__xludf.DUMMYFUNCTION("IF(AND(LEN(A30&amp;"""")-LEN(SUBSTITUTE(A30&amp;"""", ""."", """")) = 2, REGEXMATCH(A30&amp;"""", ""^4\.4\."")), 1 / SUMPRODUCT(--(LEN($A$9:$A$200&amp;"""")-LEN(SUBSTITUTE($A$9:$A$200&amp;"""", ""."", """")) = 2), --REGEXMATCH($A$9:$A$200&amp;"""", ""^4\.4\."")), """")"),"")</f>
        <v/>
      </c>
      <c r="P30" s="15" t="str">
        <f>IFERROR(__xludf.DUMMYFUNCTION("IF(AND(LEN(A30&amp;"""")-LEN(SUBSTITUTE(A30&amp;"""", ""."", """")) = 2, REGEXMATCH(A30&amp;"""", ""^4\.5\.[1-3]$"")), 1 / SUMPRODUCT(--(LEN($A$9:$A$200&amp;"""")-LEN(SUBSTITUTE($A$9:$A$200&amp;"""", ""."", """")) = 2), --REGEXMATCH($A$9:$A$200&amp;"""", ""^4\.5\.[1-3]$"")), """&amp;""")"),"")</f>
        <v/>
      </c>
      <c r="Q30" s="15" t="str">
        <f>IFERROR(__xludf.DUMMYFUNCTION("IF(AND(LEN(A30&amp;"""")-LEN(SUBSTITUTE(A30&amp;"""", ""."", """")) = 2, REGEXMATCH(A30&amp;"""", ""^(4\.5\.[4-9]$|4\.6\.|5\.)"")), 1 / SUMPRODUCT(--(LEN($A$9:$A$200&amp;"""")-LEN(SUBSTITUTE($A$9:$A$200&amp;"""", ""."", """")) = 2), --REGEXMATCH($A$9:$A$200&amp;"""", ""^(4\.5\.["&amp;"4-9]$|4\.6\.|5\.)"")), """")"),"")</f>
        <v/>
      </c>
      <c r="R30" s="12" t="str">
        <f t="shared" si="1"/>
        <v>agosto 2026</v>
      </c>
      <c r="S30" s="12" t="str">
        <f t="shared" si="2"/>
        <v>agosto 2026</v>
      </c>
    </row>
    <row r="31">
      <c r="A31" s="46" t="s">
        <v>169</v>
      </c>
      <c r="B31" s="47" t="s">
        <v>170</v>
      </c>
      <c r="C31" s="49" t="s">
        <v>32</v>
      </c>
      <c r="D31" s="50">
        <v>46233.0</v>
      </c>
      <c r="E31" s="50">
        <v>46248.0</v>
      </c>
      <c r="F31" s="50">
        <v>46234.0</v>
      </c>
      <c r="G31" s="50">
        <v>46248.0</v>
      </c>
      <c r="H31" s="92"/>
      <c r="I31" s="68">
        <v>1.0</v>
      </c>
      <c r="J31" s="54">
        <f>IFERROR(__xludf.DUMMYFUNCTION("IF(OR(D31="""", E31=""""),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E31 - D31)"),15.0)</f>
        <v>15</v>
      </c>
      <c r="K31" s="55">
        <f>IFERROR(__xludf.DUMMYFUNCTION("IF(ISNUMBER(F31), IF(ISNUMBER(G31), G31 - F31, TODAY() - F31),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""""))"),14.0)</f>
        <v>14</v>
      </c>
      <c r="M31" s="15">
        <f>IFERROR(__xludf.DUMMYFUNCTION("IF(AND(LEN(A31&amp;"""")-LEN(SUBSTITUTE(A31&amp;"""", ""."", """")) = 2, REGEXMATCH(A31&amp;"""",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31" s="15" t="str">
        <f>IFERROR(__xludf.DUMMYFUNCTION("IF(AND(LEN(A31&amp;"""")-LEN(SUBSTITUTE(A31&amp;"""", ""."", """")) = 2, REGEXMATCH(A31&amp;"""", ""^(4\.2\.|4\.3\.)"")), 1 / SUMPRODUCT(--(LEN($A$9:$A$200&amp;"""")-LEN(SUBSTITUTE($A$9:$A$200&amp;"""", ""."", """")) = 2), --REGEXMATCH($A$9:$A$200&amp;"""", ""^(4\.2\.|4\.3\.)"")"&amp;"), """")"),"")</f>
        <v/>
      </c>
      <c r="O31" s="15" t="str">
        <f>IFERROR(__xludf.DUMMYFUNCTION("IF(AND(LEN(A31&amp;"""")-LEN(SUBSTITUTE(A31&amp;"""", ""."", """")) = 2, REGEXMATCH(A31&amp;"""", ""^4\.4\."")), 1 / SUMPRODUCT(--(LEN($A$9:$A$200&amp;"""")-LEN(SUBSTITUTE($A$9:$A$200&amp;"""", ""."", """")) = 2), --REGEXMATCH($A$9:$A$200&amp;"""", ""^4\.4\."")), """")"),"")</f>
        <v/>
      </c>
      <c r="P31" s="15" t="str">
        <f>IFERROR(__xludf.DUMMYFUNCTION("IF(AND(LEN(A31&amp;"""")-LEN(SUBSTITUTE(A31&amp;"""", ""."", """")) = 2, REGEXMATCH(A31&amp;"""", ""^4\.5\.[1-3]$"")), 1 / SUMPRODUCT(--(LEN($A$9:$A$200&amp;"""")-LEN(SUBSTITUTE($A$9:$A$200&amp;"""", ""."", """")) = 2), --REGEXMATCH($A$9:$A$200&amp;"""", ""^4\.5\.[1-3]$"")), """&amp;""")"),"")</f>
        <v/>
      </c>
      <c r="Q31" s="15" t="str">
        <f>IFERROR(__xludf.DUMMYFUNCTION("IF(AND(LEN(A31&amp;"""")-LEN(SUBSTITUTE(A31&amp;"""", ""."", """")) = 2, REGEXMATCH(A31&amp;"""", ""^(4\.5\.[4-9]$|4\.6\.|5\.)"")), 1 / SUMPRODUCT(--(LEN($A$9:$A$200&amp;"""")-LEN(SUBSTITUTE($A$9:$A$200&amp;"""", ""."", """")) = 2), --REGEXMATCH($A$9:$A$200&amp;"""", ""^(4\.5\.["&amp;"4-9]$|4\.6\.|5\.)"")), """")"),"")</f>
        <v/>
      </c>
      <c r="R31" s="12" t="str">
        <f t="shared" si="1"/>
        <v>agosto 2026</v>
      </c>
      <c r="S31" s="12" t="str">
        <f t="shared" si="2"/>
        <v>agosto 2026</v>
      </c>
      <c r="V31" s="15"/>
    </row>
    <row r="32">
      <c r="A32" s="46">
        <v>4.0</v>
      </c>
      <c r="B32" s="47" t="s">
        <v>160</v>
      </c>
      <c r="C32" s="49" t="s">
        <v>32</v>
      </c>
      <c r="D32" s="50">
        <v>46230.0</v>
      </c>
      <c r="E32" s="50">
        <v>46441.0</v>
      </c>
      <c r="F32" s="50">
        <v>46230.0</v>
      </c>
      <c r="G32" s="50">
        <v>46267.0</v>
      </c>
      <c r="H32" s="96"/>
      <c r="I32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0)"),0.5714285714285714)</f>
        <v>0.5714285714</v>
      </c>
      <c r="J32" s="54">
        <f>IFERROR(__xludf.DUMMYFUNCTION("IF(OR(D32="""", E32=""""),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E32 - D32)"),211.0)</f>
        <v>211</v>
      </c>
      <c r="K32" s="55">
        <f>IFERROR(__xludf.DUMMYFUNCTION("IF(ISNUMBER(F32), IF(ISNUMBER(G32), G32 - F32, TODAY() - F32),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""""))"),37.0)</f>
        <v>37</v>
      </c>
      <c r="M32" s="15" t="str">
        <f>IFERROR(__xludf.DUMMYFUNCTION("IF(AND(LEN(A32&amp;"""")-LEN(SUBSTITUTE(A32&amp;"""", ""."", """")) = 2, REGEXMATCH(A32&amp;"""", ""^(1\.|2\.|3\.|4\.1\.)"")), 1 / SUMPRODUCT(--(LEN($A$9:$A$200&amp;"""")-LEN(SUBSTITUTE($A$9:$A$200&amp;"""", ""."", """")) = 2), --REGEXMATCH($A$9:$A$200&amp;"""", ""^(1\.|2\.|3\.|"&amp;"4\.1\.)"")), """")"),"")</f>
        <v/>
      </c>
      <c r="N32" s="15" t="str">
        <f>IFERROR(__xludf.DUMMYFUNCTION("IF(AND(LEN(A32&amp;"""")-LEN(SUBSTITUTE(A32&amp;"""", ""."", """")) = 2, REGEXMATCH(A32&amp;"""", ""^(4\.2\.|4\.3\.)"")), 1 / SUMPRODUCT(--(LEN($A$9:$A$200&amp;"""")-LEN(SUBSTITUTE($A$9:$A$200&amp;"""", ""."", """")) = 2), --REGEXMATCH($A$9:$A$200&amp;"""", ""^(4\.2\.|4\.3\.)"")"&amp;"), """")"),"")</f>
        <v/>
      </c>
      <c r="O32" s="15" t="str">
        <f>IFERROR(__xludf.DUMMYFUNCTION("IF(AND(LEN(A32&amp;"""")-LEN(SUBSTITUTE(A32&amp;"""", ""."", """")) = 2, REGEXMATCH(A32&amp;"""", ""^4\.4\."")), 1 / SUMPRODUCT(--(LEN($A$9:$A$200&amp;"""")-LEN(SUBSTITUTE($A$9:$A$200&amp;"""", ""."", """")) = 2), --REGEXMATCH($A$9:$A$200&amp;"""", ""^4\.4\."")), """")"),"")</f>
        <v/>
      </c>
      <c r="P32" s="15" t="str">
        <f>IFERROR(__xludf.DUMMYFUNCTION("IF(AND(LEN(A32&amp;"""")-LEN(SUBSTITUTE(A32&amp;"""", ""."", """")) = 2, REGEXMATCH(A32&amp;"""", ""^4\.5\.[1-3]$"")), 1 / SUMPRODUCT(--(LEN($A$9:$A$200&amp;"""")-LEN(SUBSTITUTE($A$9:$A$200&amp;"""", ""."", """")) = 2), --REGEXMATCH($A$9:$A$200&amp;"""", ""^4\.5\.[1-3]$"")), """&amp;""")"),"")</f>
        <v/>
      </c>
      <c r="Q32" s="15" t="str">
        <f>IFERROR(__xludf.DUMMYFUNCTION("IF(AND(LEN(A32&amp;"""")-LEN(SUBSTITUTE(A32&amp;"""", ""."", """")) = 2, REGEXMATCH(A32&amp;"""", ""^(4\.5\.[4-9]$|4\.6\.|5\.)"")), 1 / SUMPRODUCT(--(LEN($A$9:$A$200&amp;"""")-LEN(SUBSTITUTE($A$9:$A$200&amp;"""", ""."", """")) = 2), --REGEXMATCH($A$9:$A$200&amp;"""", ""^(4\.5\.["&amp;"4-9]$|4\.6\.|5\.)"")), """")"),"")</f>
        <v/>
      </c>
      <c r="R32" s="12" t="str">
        <f t="shared" si="1"/>
        <v>febrero 2027</v>
      </c>
      <c r="S32" s="12" t="str">
        <f t="shared" si="2"/>
        <v>septiembre 2026</v>
      </c>
      <c r="V32" s="15"/>
    </row>
    <row r="33">
      <c r="A33" s="46">
        <v>4.1</v>
      </c>
      <c r="B33" s="47" t="s">
        <v>174</v>
      </c>
      <c r="C33" s="49" t="s">
        <v>32</v>
      </c>
      <c r="D33" s="50">
        <v>46230.0</v>
      </c>
      <c r="E33" s="50">
        <v>46267.0</v>
      </c>
      <c r="F33" s="50">
        <v>46230.0</v>
      </c>
      <c r="G33" s="50">
        <v>46267.0</v>
      </c>
      <c r="H33" s="96"/>
      <c r="I33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0)"),1.0)</f>
        <v>1</v>
      </c>
      <c r="J33" s="54">
        <f>IFERROR(__xludf.DUMMYFUNCTION("IF(OR(D33="""", E33=""""),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E33 - D33)"),37.0)</f>
        <v>37</v>
      </c>
      <c r="K33" s="55">
        <f>IFERROR(__xludf.DUMMYFUNCTION("IF(ISNUMBER(F33), IF(ISNUMBER(G33), G33 - F33, TODAY() - F33),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""""))"),37.0)</f>
        <v>37</v>
      </c>
      <c r="M33" s="15" t="str">
        <f>IFERROR(__xludf.DUMMYFUNCTION("IF(AND(LEN(A33&amp;"""")-LEN(SUBSTITUTE(A33&amp;"""", ""."", """")) = 2, REGEXMATCH(A33&amp;"""", ""^(1\.|2\.|3\.|4\.1\.)"")), 1 / SUMPRODUCT(--(LEN($A$9:$A$200&amp;"""")-LEN(SUBSTITUTE($A$9:$A$200&amp;"""", ""."", """")) = 2), --REGEXMATCH($A$9:$A$200&amp;"""", ""^(1\.|2\.|3\.|"&amp;"4\.1\.)"")), """")"),"")</f>
        <v/>
      </c>
      <c r="N33" s="15" t="str">
        <f>IFERROR(__xludf.DUMMYFUNCTION("IF(AND(LEN(A33&amp;"""")-LEN(SUBSTITUTE(A33&amp;"""", ""."", """")) = 2, REGEXMATCH(A33&amp;"""", ""^(4\.2\.|4\.3\.)"")), 1 / SUMPRODUCT(--(LEN($A$9:$A$200&amp;"""")-LEN(SUBSTITUTE($A$9:$A$200&amp;"""", ""."", """")) = 2), --REGEXMATCH($A$9:$A$200&amp;"""", ""^(4\.2\.|4\.3\.)"")"&amp;"), """")"),"")</f>
        <v/>
      </c>
      <c r="O33" s="15" t="str">
        <f>IFERROR(__xludf.DUMMYFUNCTION("IF(AND(LEN(A33&amp;"""")-LEN(SUBSTITUTE(A33&amp;"""", ""."", """")) = 2, REGEXMATCH(A33&amp;"""", ""^4\.4\."")), 1 / SUMPRODUCT(--(LEN($A$9:$A$200&amp;"""")-LEN(SUBSTITUTE($A$9:$A$200&amp;"""", ""."", """")) = 2), --REGEXMATCH($A$9:$A$200&amp;"""", ""^4\.4\."")), """")"),"")</f>
        <v/>
      </c>
      <c r="P33" s="15" t="str">
        <f>IFERROR(__xludf.DUMMYFUNCTION("IF(AND(LEN(A33&amp;"""")-LEN(SUBSTITUTE(A33&amp;"""", ""."", """")) = 2, REGEXMATCH(A33&amp;"""", ""^4\.5\.[1-3]$"")), 1 / SUMPRODUCT(--(LEN($A$9:$A$200&amp;"""")-LEN(SUBSTITUTE($A$9:$A$200&amp;"""", ""."", """")) = 2), --REGEXMATCH($A$9:$A$200&amp;"""", ""^4\.5\.[1-3]$"")), """&amp;""")"),"")</f>
        <v/>
      </c>
      <c r="Q33" s="15" t="str">
        <f>IFERROR(__xludf.DUMMYFUNCTION("IF(AND(LEN(A33&amp;"""")-LEN(SUBSTITUTE(A33&amp;"""", ""."", """")) = 2, REGEXMATCH(A33&amp;"""", ""^(4\.5\.[4-9]$|4\.6\.|5\.)"")), 1 / SUMPRODUCT(--(LEN($A$9:$A$200&amp;"""")-LEN(SUBSTITUTE($A$9:$A$200&amp;"""", ""."", """")) = 2), --REGEXMATCH($A$9:$A$200&amp;"""", ""^(4\.5\.["&amp;"4-9]$|4\.6\.|5\.)"")), """")"),"")</f>
        <v/>
      </c>
      <c r="R33" s="12" t="str">
        <f t="shared" si="1"/>
        <v>septiembre 2026</v>
      </c>
      <c r="S33" s="12" t="str">
        <f t="shared" si="2"/>
        <v>septiembre 2026</v>
      </c>
      <c r="V33" s="15"/>
    </row>
    <row r="34">
      <c r="A34" s="46" t="s">
        <v>175</v>
      </c>
      <c r="B34" s="47" t="s">
        <v>176</v>
      </c>
      <c r="C34" s="49" t="s">
        <v>32</v>
      </c>
      <c r="D34" s="50">
        <v>46230.0</v>
      </c>
      <c r="E34" s="50">
        <v>46234.0</v>
      </c>
      <c r="F34" s="50">
        <v>46231.0</v>
      </c>
      <c r="G34" s="50">
        <v>46234.0</v>
      </c>
      <c r="H34" s="96"/>
      <c r="I34" s="68">
        <v>1.0</v>
      </c>
      <c r="J34" s="54">
        <f>IFERROR(__xludf.DUMMYFUNCTION("IF(OR(D34="""", E34=""""),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E34 - D34)"),4.0)</f>
        <v>4</v>
      </c>
      <c r="K34" s="55">
        <f>IFERROR(__xludf.DUMMYFUNCTION("IF(ISNUMBER(F34), IF(ISNUMBER(G34), G34 - F34, TODAY() - F34),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""""))"),3.0)</f>
        <v>3</v>
      </c>
      <c r="M34" s="15">
        <f>IFERROR(__xludf.DUMMYFUNCTION("IF(AND(LEN(A34&amp;"""")-LEN(SUBSTITUTE(A34&amp;"""", ""."", """")) = 2, REGEXMATCH(A34&amp;"""",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34" s="15" t="str">
        <f>IFERROR(__xludf.DUMMYFUNCTION("IF(AND(LEN(A34&amp;"""")-LEN(SUBSTITUTE(A34&amp;"""", ""."", """")) = 2, REGEXMATCH(A34&amp;"""", ""^(4\.2\.|4\.3\.)"")), 1 / SUMPRODUCT(--(LEN($A$9:$A$200&amp;"""")-LEN(SUBSTITUTE($A$9:$A$200&amp;"""", ""."", """")) = 2), --REGEXMATCH($A$9:$A$200&amp;"""", ""^(4\.2\.|4\.3\.)"")"&amp;"), """")"),"")</f>
        <v/>
      </c>
      <c r="O34" s="15" t="str">
        <f>IFERROR(__xludf.DUMMYFUNCTION("IF(AND(LEN(A34&amp;"""")-LEN(SUBSTITUTE(A34&amp;"""", ""."", """")) = 2, REGEXMATCH(A34&amp;"""", ""^4\.4\."")), 1 / SUMPRODUCT(--(LEN($A$9:$A$200&amp;"""")-LEN(SUBSTITUTE($A$9:$A$200&amp;"""", ""."", """")) = 2), --REGEXMATCH($A$9:$A$200&amp;"""", ""^4\.4\."")), """")"),"")</f>
        <v/>
      </c>
      <c r="P34" s="15" t="str">
        <f>IFERROR(__xludf.DUMMYFUNCTION("IF(AND(LEN(A34&amp;"""")-LEN(SUBSTITUTE(A34&amp;"""", ""."", """")) = 2, REGEXMATCH(A34&amp;"""", ""^4\.5\.[1-3]$"")), 1 / SUMPRODUCT(--(LEN($A$9:$A$200&amp;"""")-LEN(SUBSTITUTE($A$9:$A$200&amp;"""", ""."", """")) = 2), --REGEXMATCH($A$9:$A$200&amp;"""", ""^4\.5\.[1-3]$"")), """&amp;""")"),"")</f>
        <v/>
      </c>
      <c r="Q34" s="15" t="str">
        <f>IFERROR(__xludf.DUMMYFUNCTION("IF(AND(LEN(A34&amp;"""")-LEN(SUBSTITUTE(A34&amp;"""", ""."", """")) = 2, REGEXMATCH(A34&amp;"""", ""^(4\.5\.[4-9]$|4\.6\.|5\.)"")), 1 / SUMPRODUCT(--(LEN($A$9:$A$200&amp;"""")-LEN(SUBSTITUTE($A$9:$A$200&amp;"""", ""."", """")) = 2), --REGEXMATCH($A$9:$A$200&amp;"""", ""^(4\.5\.["&amp;"4-9]$|4\.6\.|5\.)"")), """")"),"")</f>
        <v/>
      </c>
      <c r="R34" s="12" t="str">
        <f t="shared" si="1"/>
        <v>julio 2026</v>
      </c>
      <c r="S34" s="12" t="str">
        <f t="shared" si="2"/>
        <v>julio 2026</v>
      </c>
      <c r="V34" s="15"/>
    </row>
    <row r="35">
      <c r="A35" s="46" t="s">
        <v>179</v>
      </c>
      <c r="B35" s="47" t="s">
        <v>180</v>
      </c>
      <c r="C35" s="49" t="s">
        <v>32</v>
      </c>
      <c r="D35" s="50">
        <v>46265.0</v>
      </c>
      <c r="E35" s="50">
        <v>46267.0</v>
      </c>
      <c r="F35" s="50">
        <v>46265.0</v>
      </c>
      <c r="G35" s="50">
        <v>46265.0</v>
      </c>
      <c r="H35" s="96"/>
      <c r="I35" s="68">
        <v>1.0</v>
      </c>
      <c r="J35" s="54">
        <f>IFERROR(__xludf.DUMMYFUNCTION("IF(OR(D35="""", E35=""""),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E35 - D35)"),2.0)</f>
        <v>2</v>
      </c>
      <c r="K35" s="55">
        <f>IFERROR(__xludf.DUMMYFUNCTION("IF(ISNUMBER(F35), IF(ISNUMBER(G35), G35 - F35, TODAY() - F35),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""""))"),0.0)</f>
        <v>0</v>
      </c>
      <c r="M35" s="15">
        <f>IFERROR(__xludf.DUMMYFUNCTION("IF(AND(LEN(A35&amp;"""")-LEN(SUBSTITUTE(A35&amp;"""", ""."", """")) = 2, REGEXMATCH(A35&amp;"""",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35" s="15" t="str">
        <f>IFERROR(__xludf.DUMMYFUNCTION("IF(AND(LEN(A35&amp;"""")-LEN(SUBSTITUTE(A35&amp;"""", ""."", """")) = 2, REGEXMATCH(A35&amp;"""", ""^(4\.2\.|4\.3\.)"")), 1 / SUMPRODUCT(--(LEN($A$9:$A$200&amp;"""")-LEN(SUBSTITUTE($A$9:$A$200&amp;"""", ""."", """")) = 2), --REGEXMATCH($A$9:$A$200&amp;"""", ""^(4\.2\.|4\.3\.)"")"&amp;"), """")"),"")</f>
        <v/>
      </c>
      <c r="O35" s="15" t="str">
        <f>IFERROR(__xludf.DUMMYFUNCTION("IF(AND(LEN(A35&amp;"""")-LEN(SUBSTITUTE(A35&amp;"""", ""."", """")) = 2, REGEXMATCH(A35&amp;"""", ""^4\.4\."")), 1 / SUMPRODUCT(--(LEN($A$9:$A$200&amp;"""")-LEN(SUBSTITUTE($A$9:$A$200&amp;"""", ""."", """")) = 2), --REGEXMATCH($A$9:$A$200&amp;"""", ""^4\.4\."")), """")"),"")</f>
        <v/>
      </c>
      <c r="P35" s="15" t="str">
        <f>IFERROR(__xludf.DUMMYFUNCTION("IF(AND(LEN(A35&amp;"""")-LEN(SUBSTITUTE(A35&amp;"""", ""."", """")) = 2, REGEXMATCH(A35&amp;"""", ""^4\.5\.[1-3]$"")), 1 / SUMPRODUCT(--(LEN($A$9:$A$200&amp;"""")-LEN(SUBSTITUTE($A$9:$A$200&amp;"""", ""."", """")) = 2), --REGEXMATCH($A$9:$A$200&amp;"""", ""^4\.5\.[1-3]$"")), """&amp;""")"),"")</f>
        <v/>
      </c>
      <c r="Q35" s="15" t="str">
        <f>IFERROR(__xludf.DUMMYFUNCTION("IF(AND(LEN(A35&amp;"""")-LEN(SUBSTITUTE(A35&amp;"""", ""."", """")) = 2, REGEXMATCH(A35&amp;"""", ""^(4\.5\.[4-9]$|4\.6\.|5\.)"")), 1 / SUMPRODUCT(--(LEN($A$9:$A$200&amp;"""")-LEN(SUBSTITUTE($A$9:$A$200&amp;"""", ""."", """")) = 2), --REGEXMATCH($A$9:$A$200&amp;"""", ""^(4\.5\.["&amp;"4-9]$|4\.6\.|5\.)"")), """")"),"")</f>
        <v/>
      </c>
      <c r="R35" s="12" t="str">
        <f t="shared" si="1"/>
        <v>septiembre 2026</v>
      </c>
      <c r="S35" s="12" t="str">
        <f t="shared" si="2"/>
        <v>agosto 2026</v>
      </c>
    </row>
    <row r="36">
      <c r="A36" s="46" t="s">
        <v>192</v>
      </c>
      <c r="B36" s="47" t="s">
        <v>194</v>
      </c>
      <c r="C36" s="49" t="s">
        <v>32</v>
      </c>
      <c r="D36" s="50">
        <v>46258.0</v>
      </c>
      <c r="E36" s="50">
        <v>46258.0</v>
      </c>
      <c r="F36" s="50">
        <v>46258.0</v>
      </c>
      <c r="G36" s="50">
        <v>46258.0</v>
      </c>
      <c r="H36" s="96"/>
      <c r="I36" s="68">
        <v>1.0</v>
      </c>
      <c r="J36" s="54">
        <f>IFERROR(__xludf.DUMMYFUNCTION("IF(OR(D36="""", E36=""""),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E36 - D36)"),0.0)</f>
        <v>0</v>
      </c>
      <c r="K36" s="55">
        <f>IFERROR(__xludf.DUMMYFUNCTION("IF(ISNUMBER(F36), IF(ISNUMBER(G36), G36 - F36, TODAY() - F36),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""""))"),0.0)</f>
        <v>0</v>
      </c>
      <c r="M36" s="15">
        <f>IFERROR(__xludf.DUMMYFUNCTION("IF(AND(LEN(A36&amp;"""")-LEN(SUBSTITUTE(A36&amp;"""", ""."", """")) = 2, REGEXMATCH(A36&amp;"""",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36" s="15" t="str">
        <f>IFERROR(__xludf.DUMMYFUNCTION("IF(AND(LEN(A36&amp;"""")-LEN(SUBSTITUTE(A36&amp;"""", ""."", """")) = 2, REGEXMATCH(A36&amp;"""", ""^(4\.2\.|4\.3\.)"")), 1 / SUMPRODUCT(--(LEN($A$9:$A$200&amp;"""")-LEN(SUBSTITUTE($A$9:$A$200&amp;"""", ""."", """")) = 2), --REGEXMATCH($A$9:$A$200&amp;"""", ""^(4\.2\.|4\.3\.)"")"&amp;"), """")"),"")</f>
        <v/>
      </c>
      <c r="O36" s="15" t="str">
        <f>IFERROR(__xludf.DUMMYFUNCTION("IF(AND(LEN(A36&amp;"""")-LEN(SUBSTITUTE(A36&amp;"""", ""."", """")) = 2, REGEXMATCH(A36&amp;"""", ""^4\.4\."")), 1 / SUMPRODUCT(--(LEN($A$9:$A$200&amp;"""")-LEN(SUBSTITUTE($A$9:$A$200&amp;"""", ""."", """")) = 2), --REGEXMATCH($A$9:$A$200&amp;"""", ""^4\.4\."")), """")"),"")</f>
        <v/>
      </c>
      <c r="P36" s="15" t="str">
        <f>IFERROR(__xludf.DUMMYFUNCTION("IF(AND(LEN(A36&amp;"""")-LEN(SUBSTITUTE(A36&amp;"""", ""."", """")) = 2, REGEXMATCH(A36&amp;"""", ""^4\.5\.[1-3]$"")), 1 / SUMPRODUCT(--(LEN($A$9:$A$200&amp;"""")-LEN(SUBSTITUTE($A$9:$A$200&amp;"""", ""."", """")) = 2), --REGEXMATCH($A$9:$A$200&amp;"""", ""^4\.5\.[1-3]$"")), """&amp;""")"),"")</f>
        <v/>
      </c>
      <c r="Q36" s="15" t="str">
        <f>IFERROR(__xludf.DUMMYFUNCTION("IF(AND(LEN(A36&amp;"""")-LEN(SUBSTITUTE(A36&amp;"""", ""."", """")) = 2, REGEXMATCH(A36&amp;"""", ""^(4\.5\.[4-9]$|4\.6\.|5\.)"")), 1 / SUMPRODUCT(--(LEN($A$9:$A$200&amp;"""")-LEN(SUBSTITUTE($A$9:$A$200&amp;"""", ""."", """")) = 2), --REGEXMATCH($A$9:$A$200&amp;"""", ""^(4\.5\.["&amp;"4-9]$|4\.6\.|5\.)"")), """")"),"")</f>
        <v/>
      </c>
      <c r="R36" s="12" t="str">
        <f t="shared" si="1"/>
        <v>agosto 2026</v>
      </c>
      <c r="S36" s="12" t="str">
        <f t="shared" si="2"/>
        <v>agosto 2026</v>
      </c>
      <c r="U36" s="33" t="s">
        <v>206</v>
      </c>
    </row>
    <row r="37">
      <c r="A37" s="46" t="s">
        <v>197</v>
      </c>
      <c r="B37" s="47" t="s">
        <v>198</v>
      </c>
      <c r="C37" s="49" t="s">
        <v>32</v>
      </c>
      <c r="D37" s="50">
        <v>46230.0</v>
      </c>
      <c r="E37" s="50">
        <v>46269.0</v>
      </c>
      <c r="F37" s="50">
        <v>46230.0</v>
      </c>
      <c r="G37" s="50">
        <v>46267.0</v>
      </c>
      <c r="H37" s="96"/>
      <c r="I37" s="68">
        <v>1.0</v>
      </c>
      <c r="J37" s="54">
        <f>IFERROR(__xludf.DUMMYFUNCTION("IF(OR(D37="""", E37=""""),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E37 - D37)"),39.0)</f>
        <v>39</v>
      </c>
      <c r="K37" s="55">
        <f>IFERROR(__xludf.DUMMYFUNCTION("IF(ISNUMBER(F37), IF(ISNUMBER(G37), G37 - F37, TODAY() - F37),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""""))"),37.0)</f>
        <v>37</v>
      </c>
      <c r="M37" s="15">
        <f>IFERROR(__xludf.DUMMYFUNCTION("IF(AND(LEN(A37&amp;"""")-LEN(SUBSTITUTE(A37&amp;"""", ""."", """")) = 2, REGEXMATCH(A37&amp;"""",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37" s="15" t="str">
        <f>IFERROR(__xludf.DUMMYFUNCTION("IF(AND(LEN(A37&amp;"""")-LEN(SUBSTITUTE(A37&amp;"""", ""."", """")) = 2, REGEXMATCH(A37&amp;"""", ""^(4\.2\.|4\.3\.)"")), 1 / SUMPRODUCT(--(LEN($A$9:$A$200&amp;"""")-LEN(SUBSTITUTE($A$9:$A$200&amp;"""", ""."", """")) = 2), --REGEXMATCH($A$9:$A$200&amp;"""", ""^(4\.2\.|4\.3\.)"")"&amp;"), """")"),"")</f>
        <v/>
      </c>
      <c r="O37" s="15" t="str">
        <f>IFERROR(__xludf.DUMMYFUNCTION("IF(AND(LEN(A37&amp;"""")-LEN(SUBSTITUTE(A37&amp;"""", ""."", """")) = 2, REGEXMATCH(A37&amp;"""", ""^4\.4\."")), 1 / SUMPRODUCT(--(LEN($A$9:$A$200&amp;"""")-LEN(SUBSTITUTE($A$9:$A$200&amp;"""", ""."", """")) = 2), --REGEXMATCH($A$9:$A$200&amp;"""", ""^4\.4\."")), """")"),"")</f>
        <v/>
      </c>
      <c r="P37" s="15" t="str">
        <f>IFERROR(__xludf.DUMMYFUNCTION("IF(AND(LEN(A37&amp;"""")-LEN(SUBSTITUTE(A37&amp;"""", ""."", """")) = 2, REGEXMATCH(A37&amp;"""", ""^4\.5\.[1-3]$"")), 1 / SUMPRODUCT(--(LEN($A$9:$A$200&amp;"""")-LEN(SUBSTITUTE($A$9:$A$200&amp;"""", ""."", """")) = 2), --REGEXMATCH($A$9:$A$200&amp;"""", ""^4\.5\.[1-3]$"")), """&amp;""")"),"")</f>
        <v/>
      </c>
      <c r="Q37" s="15" t="str">
        <f>IFERROR(__xludf.DUMMYFUNCTION("IF(AND(LEN(A37&amp;"""")-LEN(SUBSTITUTE(A37&amp;"""", ""."", """")) = 2, REGEXMATCH(A37&amp;"""", ""^(4\.5\.[4-9]$|4\.6\.|5\.)"")), 1 / SUMPRODUCT(--(LEN($A$9:$A$200&amp;"""")-LEN(SUBSTITUTE($A$9:$A$200&amp;"""", ""."", """")) = 2), --REGEXMATCH($A$9:$A$200&amp;"""", ""^(4\.5\.["&amp;"4-9]$|4\.6\.|5\.)"")), """")"),"")</f>
        <v/>
      </c>
      <c r="R37" s="12" t="str">
        <f t="shared" si="1"/>
        <v>septiembre 2026</v>
      </c>
      <c r="S37" s="12" t="str">
        <f t="shared" si="2"/>
        <v>septiembre 2026</v>
      </c>
      <c r="U37" s="43" t="s">
        <v>51</v>
      </c>
      <c r="V37" s="43" t="s">
        <v>52</v>
      </c>
      <c r="W37" s="43" t="s">
        <v>54</v>
      </c>
      <c r="X37" s="43"/>
      <c r="Y37" s="43" t="s">
        <v>51</v>
      </c>
      <c r="Z37" s="43" t="s">
        <v>55</v>
      </c>
      <c r="AA37" s="43" t="s">
        <v>56</v>
      </c>
      <c r="AE37" s="15"/>
    </row>
    <row r="38">
      <c r="A38" s="46" t="s">
        <v>200</v>
      </c>
      <c r="B38" s="47" t="s">
        <v>201</v>
      </c>
      <c r="C38" s="49" t="s">
        <v>32</v>
      </c>
      <c r="D38" s="50">
        <v>46234.0</v>
      </c>
      <c r="E38" s="50">
        <v>46237.0</v>
      </c>
      <c r="F38" s="50">
        <v>46237.0</v>
      </c>
      <c r="G38" s="50">
        <v>46237.0</v>
      </c>
      <c r="H38" s="96"/>
      <c r="I38" s="68">
        <v>1.0</v>
      </c>
      <c r="J38" s="54">
        <f>IFERROR(__xludf.DUMMYFUNCTION("IF(OR(D38="""", E38=""""),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E38 - D38)"),3.0)</f>
        <v>3</v>
      </c>
      <c r="K38" s="55">
        <f>IFERROR(__xludf.DUMMYFUNCTION("IF(ISNUMBER(F38), IF(ISNUMBER(G38), G38 - F38, TODAY() - F38),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""""))"),0.0)</f>
        <v>0</v>
      </c>
      <c r="M38" s="15">
        <f>IFERROR(__xludf.DUMMYFUNCTION("IF(AND(LEN(A38&amp;"""")-LEN(SUBSTITUTE(A38&amp;"""", ""."", """")) = 2, REGEXMATCH(A38&amp;"""",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38" s="15" t="str">
        <f>IFERROR(__xludf.DUMMYFUNCTION("IF(AND(LEN(A38&amp;"""")-LEN(SUBSTITUTE(A38&amp;"""", ""."", """")) = 2, REGEXMATCH(A38&amp;"""", ""^(4\.2\.|4\.3\.)"")), 1 / SUMPRODUCT(--(LEN($A$9:$A$200&amp;"""")-LEN(SUBSTITUTE($A$9:$A$200&amp;"""", ""."", """")) = 2), --REGEXMATCH($A$9:$A$200&amp;"""", ""^(4\.2\.|4\.3\.)"")"&amp;"), """")"),"")</f>
        <v/>
      </c>
      <c r="O38" s="15" t="str">
        <f>IFERROR(__xludf.DUMMYFUNCTION("IF(AND(LEN(A38&amp;"""")-LEN(SUBSTITUTE(A38&amp;"""", ""."", """")) = 2, REGEXMATCH(A38&amp;"""", ""^4\.4\."")), 1 / SUMPRODUCT(--(LEN($A$9:$A$200&amp;"""")-LEN(SUBSTITUTE($A$9:$A$200&amp;"""", ""."", """")) = 2), --REGEXMATCH($A$9:$A$200&amp;"""", ""^4\.4\."")), """")"),"")</f>
        <v/>
      </c>
      <c r="P38" s="15" t="str">
        <f>IFERROR(__xludf.DUMMYFUNCTION("IF(AND(LEN(A38&amp;"""")-LEN(SUBSTITUTE(A38&amp;"""", ""."", """")) = 2, REGEXMATCH(A38&amp;"""", ""^4\.5\.[1-3]$"")), 1 / SUMPRODUCT(--(LEN($A$9:$A$200&amp;"""")-LEN(SUBSTITUTE($A$9:$A$200&amp;"""", ""."", """")) = 2), --REGEXMATCH($A$9:$A$200&amp;"""", ""^4\.5\.[1-3]$"")), """&amp;""")"),"")</f>
        <v/>
      </c>
      <c r="Q38" s="15" t="str">
        <f>IFERROR(__xludf.DUMMYFUNCTION("IF(AND(LEN(A38&amp;"""")-LEN(SUBSTITUTE(A38&amp;"""", ""."", """")) = 2, REGEXMATCH(A38&amp;"""", ""^(4\.5\.[4-9]$|4\.6\.|5\.)"")), 1 / SUMPRODUCT(--(LEN($A$9:$A$200&amp;"""")-LEN(SUBSTITUTE($A$9:$A$200&amp;"""", ""."", """")) = 2), --REGEXMATCH($A$9:$A$200&amp;"""", ""^(4\.5\.["&amp;"4-9]$|4\.6\.|5\.)"")), """")"),"")</f>
        <v/>
      </c>
      <c r="R38" s="12" t="str">
        <f t="shared" si="1"/>
        <v>agosto 2026</v>
      </c>
      <c r="S38" s="12" t="str">
        <f t="shared" si="2"/>
        <v>agosto 2026</v>
      </c>
      <c r="U38" s="12" t="s">
        <v>11</v>
      </c>
      <c r="V38" s="15">
        <v>0.0</v>
      </c>
      <c r="W38" s="15">
        <f>V38</f>
        <v>0</v>
      </c>
      <c r="Y38" s="111" t="s">
        <v>11</v>
      </c>
      <c r="Z38" s="112">
        <v>0.0</v>
      </c>
      <c r="AA38" s="15">
        <f>Z38</f>
        <v>0</v>
      </c>
      <c r="AE38" s="15"/>
    </row>
    <row r="39">
      <c r="A39" s="46" t="s">
        <v>202</v>
      </c>
      <c r="B39" s="47" t="s">
        <v>203</v>
      </c>
      <c r="C39" s="49" t="s">
        <v>32</v>
      </c>
      <c r="D39" s="50">
        <v>46230.0</v>
      </c>
      <c r="E39" s="50">
        <v>46230.0</v>
      </c>
      <c r="F39" s="50">
        <v>46230.0</v>
      </c>
      <c r="G39" s="50">
        <v>46230.0</v>
      </c>
      <c r="H39" s="96"/>
      <c r="I39" s="68">
        <v>1.0</v>
      </c>
      <c r="J39" s="54">
        <f>IFERROR(__xludf.DUMMYFUNCTION("IF(OR(D39="""", E39=""""),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E39 - D39)"),0.0)</f>
        <v>0</v>
      </c>
      <c r="K39" s="55">
        <f>IFERROR(__xludf.DUMMYFUNCTION("IF(ISNUMBER(F39), IF(ISNUMBER(G39), G39 - F39, TODAY() - F39),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""""))"),0.0)</f>
        <v>0</v>
      </c>
      <c r="M39" s="15">
        <f>IFERROR(__xludf.DUMMYFUNCTION("IF(AND(LEN(A39&amp;"""")-LEN(SUBSTITUTE(A39&amp;"""", ""."", """")) = 2, REGEXMATCH(A39&amp;"""",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39" s="15" t="str">
        <f>IFERROR(__xludf.DUMMYFUNCTION("IF(AND(LEN(A39&amp;"""")-LEN(SUBSTITUTE(A39&amp;"""", ""."", """")) = 2, REGEXMATCH(A39&amp;"""", ""^(4\.2\.|4\.3\.)"")), 1 / SUMPRODUCT(--(LEN($A$9:$A$200&amp;"""")-LEN(SUBSTITUTE($A$9:$A$200&amp;"""", ""."", """")) = 2), --REGEXMATCH($A$9:$A$200&amp;"""", ""^(4\.2\.|4\.3\.)"")"&amp;"), """")"),"")</f>
        <v/>
      </c>
      <c r="O39" s="15" t="str">
        <f>IFERROR(__xludf.DUMMYFUNCTION("IF(AND(LEN(A39&amp;"""")-LEN(SUBSTITUTE(A39&amp;"""", ""."", """")) = 2, REGEXMATCH(A39&amp;"""", ""^4\.4\."")), 1 / SUMPRODUCT(--(LEN($A$9:$A$200&amp;"""")-LEN(SUBSTITUTE($A$9:$A$200&amp;"""", ""."", """")) = 2), --REGEXMATCH($A$9:$A$200&amp;"""", ""^4\.4\."")), """")"),"")</f>
        <v/>
      </c>
      <c r="P39" s="15" t="str">
        <f>IFERROR(__xludf.DUMMYFUNCTION("IF(AND(LEN(A39&amp;"""")-LEN(SUBSTITUTE(A39&amp;"""", ""."", """")) = 2, REGEXMATCH(A39&amp;"""", ""^4\.5\.[1-3]$"")), 1 / SUMPRODUCT(--(LEN($A$9:$A$200&amp;"""")-LEN(SUBSTITUTE($A$9:$A$200&amp;"""", ""."", """")) = 2), --REGEXMATCH($A$9:$A$200&amp;"""", ""^4\.5\.[1-3]$"")), """&amp;""")"),"")</f>
        <v/>
      </c>
      <c r="Q39" s="15" t="str">
        <f>IFERROR(__xludf.DUMMYFUNCTION("IF(AND(LEN(A39&amp;"""")-LEN(SUBSTITUTE(A39&amp;"""", ""."", """")) = 2, REGEXMATCH(A39&amp;"""", ""^(4\.5\.[4-9]$|4\.6\.|5\.)"")), 1 / SUMPRODUCT(--(LEN($A$9:$A$200&amp;"""")-LEN(SUBSTITUTE($A$9:$A$200&amp;"""", ""."", """")) = 2), --REGEXMATCH($A$9:$A$200&amp;"""", ""^(4\.5\.["&amp;"4-9]$|4\.6\.|5\.)"")), """")"),"")</f>
        <v/>
      </c>
      <c r="R39" s="12" t="str">
        <f t="shared" si="1"/>
        <v>julio 2026</v>
      </c>
      <c r="S39" s="12" t="str">
        <f t="shared" si="2"/>
        <v>julio 2026</v>
      </c>
      <c r="U39" s="12" t="s">
        <v>19</v>
      </c>
      <c r="V39" s="15">
        <v>0.16666666666666666</v>
      </c>
      <c r="W39" s="15">
        <f t="shared" ref="W39:W40" si="7">V39+W38</f>
        <v>0.1666666667</v>
      </c>
      <c r="Y39" s="111" t="s">
        <v>19</v>
      </c>
      <c r="Z39" s="112">
        <v>0.16666666666666666</v>
      </c>
      <c r="AA39" s="15">
        <f t="shared" ref="AA39:AA40" si="8">Z39+AA38</f>
        <v>0.1666666667</v>
      </c>
    </row>
    <row r="40">
      <c r="A40" s="46" t="s">
        <v>207</v>
      </c>
      <c r="B40" s="47" t="s">
        <v>208</v>
      </c>
      <c r="C40" s="49" t="s">
        <v>209</v>
      </c>
      <c r="D40" s="50">
        <v>46238.0</v>
      </c>
      <c r="E40" s="50">
        <v>46241.0</v>
      </c>
      <c r="F40" s="50">
        <v>46239.0</v>
      </c>
      <c r="G40" s="50">
        <v>46262.0</v>
      </c>
      <c r="H40" s="96"/>
      <c r="I40" s="68">
        <v>1.0</v>
      </c>
      <c r="J40" s="54">
        <f>IFERROR(__xludf.DUMMYFUNCTION("IF(OR(D40="""", E40=""""),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E40 - D40)"),3.0)</f>
        <v>3</v>
      </c>
      <c r="K40" s="55">
        <f>IFERROR(__xludf.DUMMYFUNCTION("IF(ISNUMBER(F40), IF(ISNUMBER(G40), G40 - F40, TODAY() - F40),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""""))"),23.0)</f>
        <v>23</v>
      </c>
      <c r="M40" s="15">
        <f>IFERROR(__xludf.DUMMYFUNCTION("IF(AND(LEN(A40&amp;"""")-LEN(SUBSTITUTE(A40&amp;"""", ""."", """")) = 2, REGEXMATCH(A40&amp;"""", ""^(1\.|2\.|3\.|4\.1\.)"")), 1 / SUMPRODUCT(--(LEN($A$9:$A$200&amp;"""")-LEN(SUBSTITUTE($A$9:$A$200&amp;"""", ""."", """")) = 2), --REGEXMATCH($A$9:$A$200&amp;"""", ""^(1\.|2\.|3\.|"&amp;"4\.1\.)"")), """")"),0.043478260869565216)</f>
        <v>0.04347826087</v>
      </c>
      <c r="N40" s="15" t="str">
        <f>IFERROR(__xludf.DUMMYFUNCTION("IF(AND(LEN(A40&amp;"""")-LEN(SUBSTITUTE(A40&amp;"""", ""."", """")) = 2, REGEXMATCH(A40&amp;"""", ""^(4\.2\.|4\.3\.)"")), 1 / SUMPRODUCT(--(LEN($A$9:$A$200&amp;"""")-LEN(SUBSTITUTE($A$9:$A$200&amp;"""", ""."", """")) = 2), --REGEXMATCH($A$9:$A$200&amp;"""", ""^(4\.2\.|4\.3\.)"")"&amp;"), """")"),"")</f>
        <v/>
      </c>
      <c r="O40" s="15" t="str">
        <f>IFERROR(__xludf.DUMMYFUNCTION("IF(AND(LEN(A40&amp;"""")-LEN(SUBSTITUTE(A40&amp;"""", ""."", """")) = 2, REGEXMATCH(A40&amp;"""", ""^4\.4\."")), 1 / SUMPRODUCT(--(LEN($A$9:$A$200&amp;"""")-LEN(SUBSTITUTE($A$9:$A$200&amp;"""", ""."", """")) = 2), --REGEXMATCH($A$9:$A$200&amp;"""", ""^4\.4\."")), """")"),"")</f>
        <v/>
      </c>
      <c r="P40" s="15" t="str">
        <f>IFERROR(__xludf.DUMMYFUNCTION("IF(AND(LEN(A40&amp;"""")-LEN(SUBSTITUTE(A40&amp;"""", ""."", """")) = 2, REGEXMATCH(A40&amp;"""", ""^4\.5\.[1-3]$"")), 1 / SUMPRODUCT(--(LEN($A$9:$A$200&amp;"""")-LEN(SUBSTITUTE($A$9:$A$200&amp;"""", ""."", """")) = 2), --REGEXMATCH($A$9:$A$200&amp;"""", ""^4\.5\.[1-3]$"")), """&amp;""")"),"")</f>
        <v/>
      </c>
      <c r="Q40" s="15" t="str">
        <f>IFERROR(__xludf.DUMMYFUNCTION("IF(AND(LEN(A40&amp;"""")-LEN(SUBSTITUTE(A40&amp;"""", ""."", """")) = 2, REGEXMATCH(A40&amp;"""", ""^(4\.5\.[4-9]$|4\.6\.|5\.)"")), 1 / SUMPRODUCT(--(LEN($A$9:$A$200&amp;"""")-LEN(SUBSTITUTE($A$9:$A$200&amp;"""", ""."", """")) = 2), --REGEXMATCH($A$9:$A$200&amp;"""", ""^(4\.5\.["&amp;"4-9]$|4\.6\.|5\.)"")), """")"),"")</f>
        <v/>
      </c>
      <c r="R40" s="12" t="str">
        <f t="shared" si="1"/>
        <v>agosto 2026</v>
      </c>
      <c r="S40" s="12" t="str">
        <f t="shared" si="2"/>
        <v>agosto 2026</v>
      </c>
      <c r="U40" s="12" t="s">
        <v>17</v>
      </c>
      <c r="V40" s="15">
        <v>0.8333333333333333</v>
      </c>
      <c r="W40" s="15">
        <f t="shared" si="7"/>
        <v>1</v>
      </c>
      <c r="Y40" s="111" t="s">
        <v>17</v>
      </c>
      <c r="Z40" s="112">
        <v>0.3333333333333333</v>
      </c>
      <c r="AA40" s="15">
        <f t="shared" si="8"/>
        <v>0.5</v>
      </c>
    </row>
    <row r="41">
      <c r="A41" s="46">
        <v>4.2</v>
      </c>
      <c r="B41" s="47" t="s">
        <v>211</v>
      </c>
      <c r="C41" s="49" t="s">
        <v>32</v>
      </c>
      <c r="D41" s="50">
        <v>46260.0</v>
      </c>
      <c r="E41" s="50">
        <v>46269.0</v>
      </c>
      <c r="F41" s="50">
        <v>46260.0</v>
      </c>
      <c r="G41" s="50">
        <v>46267.0</v>
      </c>
      <c r="H41" s="96"/>
      <c r="I41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0)"),1.0)</f>
        <v>1</v>
      </c>
      <c r="J41" s="54">
        <f>IFERROR(__xludf.DUMMYFUNCTION("IF(OR(D41="""", E41=""""),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E41 - D41)"),9.0)</f>
        <v>9</v>
      </c>
      <c r="K41" s="55">
        <f>IFERROR(__xludf.DUMMYFUNCTION("IF(ISNUMBER(F41), IF(ISNUMBER(G41), G41 - F41, TODAY() - F41),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""""))"),7.0)</f>
        <v>7</v>
      </c>
      <c r="M41" s="15" t="str">
        <f>IFERROR(__xludf.DUMMYFUNCTION("IF(AND(LEN(A41&amp;"""")-LEN(SUBSTITUTE(A41&amp;"""", ""."", """")) = 2, REGEXMATCH(A41&amp;"""", ""^(1\.|2\.|3\.|4\.1\.)"")), 1 / SUMPRODUCT(--(LEN($A$9:$A$200&amp;"""")-LEN(SUBSTITUTE($A$9:$A$200&amp;"""", ""."", """")) = 2), --REGEXMATCH($A$9:$A$200&amp;"""", ""^(1\.|2\.|3\.|"&amp;"4\.1\.)"")), """")"),"")</f>
        <v/>
      </c>
      <c r="N41" s="15" t="str">
        <f>IFERROR(__xludf.DUMMYFUNCTION("IF(AND(LEN(A41&amp;"""")-LEN(SUBSTITUTE(A41&amp;"""", ""."", """")) = 2, REGEXMATCH(A41&amp;"""", ""^(4\.2\.|4\.3\.)"")), 1 / SUMPRODUCT(--(LEN($A$9:$A$200&amp;"""")-LEN(SUBSTITUTE($A$9:$A$200&amp;"""", ""."", """")) = 2), --REGEXMATCH($A$9:$A$200&amp;"""", ""^(4\.2\.|4\.3\.)"")"&amp;"), """")"),"")</f>
        <v/>
      </c>
      <c r="O41" s="15" t="str">
        <f>IFERROR(__xludf.DUMMYFUNCTION("IF(AND(LEN(A41&amp;"""")-LEN(SUBSTITUTE(A41&amp;"""", ""."", """")) = 2, REGEXMATCH(A41&amp;"""", ""^4\.4\."")), 1 / SUMPRODUCT(--(LEN($A$9:$A$200&amp;"""")-LEN(SUBSTITUTE($A$9:$A$200&amp;"""", ""."", """")) = 2), --REGEXMATCH($A$9:$A$200&amp;"""", ""^4\.4\."")), """")"),"")</f>
        <v/>
      </c>
      <c r="P41" s="15" t="str">
        <f>IFERROR(__xludf.DUMMYFUNCTION("IF(AND(LEN(A41&amp;"""")-LEN(SUBSTITUTE(A41&amp;"""", ""."", """")) = 2, REGEXMATCH(A41&amp;"""", ""^4\.5\.[1-3]$"")), 1 / SUMPRODUCT(--(LEN($A$9:$A$200&amp;"""")-LEN(SUBSTITUTE($A$9:$A$200&amp;"""", ""."", """")) = 2), --REGEXMATCH($A$9:$A$200&amp;"""", ""^4\.5\.[1-3]$"")), """&amp;""")"),"")</f>
        <v/>
      </c>
      <c r="Q41" s="15" t="str">
        <f>IFERROR(__xludf.DUMMYFUNCTION("IF(AND(LEN(A41&amp;"""")-LEN(SUBSTITUTE(A41&amp;"""", ""."", """")) = 2, REGEXMATCH(A41&amp;"""", ""^(4\.5\.[4-9]$|4\.6\.|5\.)"")), 1 / SUMPRODUCT(--(LEN($A$9:$A$200&amp;"""")-LEN(SUBSTITUTE($A$9:$A$200&amp;"""", ""."", """")) = 2), --REGEXMATCH($A$9:$A$200&amp;"""", ""^(4\.5\.["&amp;"4-9]$|4\.6\.|5\.)"")), """")"),"")</f>
        <v/>
      </c>
      <c r="R41" s="12" t="str">
        <f t="shared" si="1"/>
        <v>septiembre 2026</v>
      </c>
      <c r="S41" s="12" t="str">
        <f t="shared" si="2"/>
        <v>septiembre 2026</v>
      </c>
    </row>
    <row r="42">
      <c r="A42" s="46" t="s">
        <v>213</v>
      </c>
      <c r="B42" s="47" t="s">
        <v>214</v>
      </c>
      <c r="C42" s="49" t="s">
        <v>209</v>
      </c>
      <c r="D42" s="50">
        <v>46260.0</v>
      </c>
      <c r="E42" s="50">
        <v>46262.0</v>
      </c>
      <c r="F42" s="50">
        <v>46268.0</v>
      </c>
      <c r="G42" s="50">
        <v>46266.0</v>
      </c>
      <c r="H42" s="110"/>
      <c r="I42" s="68">
        <v>1.0</v>
      </c>
      <c r="J42" s="54">
        <f>IFERROR(__xludf.DUMMYFUNCTION("IF(OR(D42="""", E42=""""),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E42 - D42)"),2.0)</f>
        <v>2</v>
      </c>
      <c r="K42" s="55">
        <f>IFERROR(__xludf.DUMMYFUNCTION("IF(ISNUMBER(F42), IF(ISNUMBER(G42), G42 - F42, TODAY() - F42),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""""))"),-2.0)</f>
        <v>-2</v>
      </c>
      <c r="M42" s="15" t="str">
        <f>IFERROR(__xludf.DUMMYFUNCTION("IF(AND(LEN(A42&amp;"""")-LEN(SUBSTITUTE(A42&amp;"""", ""."", """")) = 2, REGEXMATCH(A42&amp;"""", ""^(1\.|2\.|3\.|4\.1\.)"")), 1 / SUMPRODUCT(--(LEN($A$9:$A$200&amp;"""")-LEN(SUBSTITUTE($A$9:$A$200&amp;"""", ""."", """")) = 2), --REGEXMATCH($A$9:$A$200&amp;"""", ""^(1\.|2\.|3\.|"&amp;"4\.1\.)"")), """")"),"")</f>
        <v/>
      </c>
      <c r="N42" s="15">
        <f>IFERROR(__xludf.DUMMYFUNCTION("IF(AND(LEN(A42&amp;"""")-LEN(SUBSTITUTE(A42&amp;"""", ""."", """")) = 2, REGEXMATCH(A42&amp;"""", ""^(4\.2\.|4\.3\.)"")), 1 / SUMPRODUCT(--(LEN($A$9:$A$200&amp;"""")-LEN(SUBSTITUTE($A$9:$A$200&amp;"""", ""."", """")) = 2), --REGEXMATCH($A$9:$A$200&amp;"""", ""^(4\.2\.|4\.3\.)"")"&amp;"), """")"),0.09090909090909091)</f>
        <v>0.09090909091</v>
      </c>
      <c r="O42" s="15" t="str">
        <f>IFERROR(__xludf.DUMMYFUNCTION("IF(AND(LEN(A42&amp;"""")-LEN(SUBSTITUTE(A42&amp;"""", ""."", """")) = 2, REGEXMATCH(A42&amp;"""", ""^4\.4\."")), 1 / SUMPRODUCT(--(LEN($A$9:$A$200&amp;"""")-LEN(SUBSTITUTE($A$9:$A$200&amp;"""", ""."", """")) = 2), --REGEXMATCH($A$9:$A$200&amp;"""", ""^4\.4\."")), """")"),"")</f>
        <v/>
      </c>
      <c r="P42" s="15" t="str">
        <f>IFERROR(__xludf.DUMMYFUNCTION("IF(AND(LEN(A42&amp;"""")-LEN(SUBSTITUTE(A42&amp;"""", ""."", """")) = 2, REGEXMATCH(A42&amp;"""", ""^4\.5\.[1-3]$"")), 1 / SUMPRODUCT(--(LEN($A$9:$A$200&amp;"""")-LEN(SUBSTITUTE($A$9:$A$200&amp;"""", ""."", """")) = 2), --REGEXMATCH($A$9:$A$200&amp;"""", ""^4\.5\.[1-3]$"")), """&amp;""")"),"")</f>
        <v/>
      </c>
      <c r="Q42" s="15" t="str">
        <f>IFERROR(__xludf.DUMMYFUNCTION("IF(AND(LEN(A42&amp;"""")-LEN(SUBSTITUTE(A42&amp;"""", ""."", """")) = 2, REGEXMATCH(A42&amp;"""", ""^(4\.5\.[4-9]$|4\.6\.|5\.)"")), 1 / SUMPRODUCT(--(LEN($A$9:$A$200&amp;"""")-LEN(SUBSTITUTE($A$9:$A$200&amp;"""", ""."", """")) = 2), --REGEXMATCH($A$9:$A$200&amp;"""", ""^(4\.5\.["&amp;"4-9]$|4\.6\.|5\.)"")), """")"),"")</f>
        <v/>
      </c>
      <c r="R42" s="12" t="str">
        <f t="shared" si="1"/>
        <v>agosto 2026</v>
      </c>
      <c r="S42" s="12" t="str">
        <f t="shared" si="2"/>
        <v>septiembre 2026</v>
      </c>
      <c r="AE42" s="15"/>
    </row>
    <row r="43">
      <c r="A43" s="46" t="s">
        <v>216</v>
      </c>
      <c r="B43" s="47" t="s">
        <v>217</v>
      </c>
      <c r="C43" s="49" t="s">
        <v>32</v>
      </c>
      <c r="D43" s="50">
        <v>46231.0</v>
      </c>
      <c r="E43" s="50">
        <v>46269.0</v>
      </c>
      <c r="F43" s="50">
        <v>46231.0</v>
      </c>
      <c r="G43" s="50">
        <v>46267.0</v>
      </c>
      <c r="H43" s="110"/>
      <c r="I43" s="68">
        <v>1.0</v>
      </c>
      <c r="J43" s="54">
        <f>IFERROR(__xludf.DUMMYFUNCTION("IF(OR(D43="""", E43=""""),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E43 - D43)"),38.0)</f>
        <v>38</v>
      </c>
      <c r="K43" s="55">
        <f>IFERROR(__xludf.DUMMYFUNCTION("IF(ISNUMBER(F43), IF(ISNUMBER(G43), G43 - F43, TODAY() - F43),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""""))"),36.0)</f>
        <v>36</v>
      </c>
      <c r="M43" s="15" t="str">
        <f>IFERROR(__xludf.DUMMYFUNCTION("IF(AND(LEN(A43&amp;"""")-LEN(SUBSTITUTE(A43&amp;"""", ""."", """")) = 2, REGEXMATCH(A43&amp;"""", ""^(1\.|2\.|3\.|4\.1\.)"")), 1 / SUMPRODUCT(--(LEN($A$9:$A$200&amp;"""")-LEN(SUBSTITUTE($A$9:$A$200&amp;"""", ""."", """")) = 2), --REGEXMATCH($A$9:$A$200&amp;"""", ""^(1\.|2\.|3\.|"&amp;"4\.1\.)"")), """")"),"")</f>
        <v/>
      </c>
      <c r="N43" s="15">
        <f>IFERROR(__xludf.DUMMYFUNCTION("IF(AND(LEN(A43&amp;"""")-LEN(SUBSTITUTE(A43&amp;"""", ""."", """")) = 2, REGEXMATCH(A43&amp;"""", ""^(4\.2\.|4\.3\.)"")), 1 / SUMPRODUCT(--(LEN($A$9:$A$200&amp;"""")-LEN(SUBSTITUTE($A$9:$A$200&amp;"""", ""."", """")) = 2), --REGEXMATCH($A$9:$A$200&amp;"""", ""^(4\.2\.|4\.3\.)"")"&amp;"), """")"),0.09090909090909091)</f>
        <v>0.09090909091</v>
      </c>
      <c r="O43" s="15" t="str">
        <f>IFERROR(__xludf.DUMMYFUNCTION("IF(AND(LEN(A43&amp;"""")-LEN(SUBSTITUTE(A43&amp;"""", ""."", """")) = 2, REGEXMATCH(A43&amp;"""", ""^4\.4\."")), 1 / SUMPRODUCT(--(LEN($A$9:$A$200&amp;"""")-LEN(SUBSTITUTE($A$9:$A$200&amp;"""", ""."", """")) = 2), --REGEXMATCH($A$9:$A$200&amp;"""", ""^4\.4\."")), """")"),"")</f>
        <v/>
      </c>
      <c r="P43" s="15" t="str">
        <f>IFERROR(__xludf.DUMMYFUNCTION("IF(AND(LEN(A43&amp;"""")-LEN(SUBSTITUTE(A43&amp;"""", ""."", """")) = 2, REGEXMATCH(A43&amp;"""", ""^4\.5\.[1-3]$"")), 1 / SUMPRODUCT(--(LEN($A$9:$A$200&amp;"""")-LEN(SUBSTITUTE($A$9:$A$200&amp;"""", ""."", """")) = 2), --REGEXMATCH($A$9:$A$200&amp;"""", ""^4\.5\.[1-3]$"")), """&amp;""")"),"")</f>
        <v/>
      </c>
      <c r="Q43" s="15" t="str">
        <f>IFERROR(__xludf.DUMMYFUNCTION("IF(AND(LEN(A43&amp;"""")-LEN(SUBSTITUTE(A43&amp;"""", ""."", """")) = 2, REGEXMATCH(A43&amp;"""", ""^(4\.5\.[4-9]$|4\.6\.|5\.)"")), 1 / SUMPRODUCT(--(LEN($A$9:$A$200&amp;"""")-LEN(SUBSTITUTE($A$9:$A$200&amp;"""", ""."", """")) = 2), --REGEXMATCH($A$9:$A$200&amp;"""", ""^(4\.5\.["&amp;"4-9]$|4\.6\.|5\.)"")), """")"),"")</f>
        <v/>
      </c>
      <c r="R43" s="12" t="str">
        <f t="shared" si="1"/>
        <v>septiembre 2026</v>
      </c>
      <c r="S43" s="12" t="str">
        <f t="shared" si="2"/>
        <v>septiembre 2026</v>
      </c>
      <c r="AE43" s="15"/>
    </row>
    <row r="44">
      <c r="A44" s="46" t="s">
        <v>219</v>
      </c>
      <c r="B44" s="47" t="s">
        <v>220</v>
      </c>
      <c r="C44" s="49" t="s">
        <v>32</v>
      </c>
      <c r="D44" s="50">
        <v>46238.0</v>
      </c>
      <c r="E44" s="50">
        <v>46242.0</v>
      </c>
      <c r="F44" s="50">
        <v>46238.0</v>
      </c>
      <c r="G44" s="50">
        <v>46240.0</v>
      </c>
      <c r="H44" s="110"/>
      <c r="I44" s="68">
        <v>1.0</v>
      </c>
      <c r="J44" s="54">
        <f>IFERROR(__xludf.DUMMYFUNCTION("IF(OR(D44="""", E44=""""),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E44 - D44)"),4.0)</f>
        <v>4</v>
      </c>
      <c r="K44" s="55">
        <f>IFERROR(__xludf.DUMMYFUNCTION("IF(ISNUMBER(F44), IF(ISNUMBER(G44), G44 - F44, TODAY() - F44),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""""))"),2.0)</f>
        <v>2</v>
      </c>
      <c r="M44" s="15" t="str">
        <f>IFERROR(__xludf.DUMMYFUNCTION("IF(AND(LEN(A44&amp;"""")-LEN(SUBSTITUTE(A44&amp;"""", ""."", """")) = 2, REGEXMATCH(A44&amp;"""", ""^(1\.|2\.|3\.|4\.1\.)"")), 1 / SUMPRODUCT(--(LEN($A$9:$A$200&amp;"""")-LEN(SUBSTITUTE($A$9:$A$200&amp;"""", ""."", """")) = 2), --REGEXMATCH($A$9:$A$200&amp;"""", ""^(1\.|2\.|3\.|"&amp;"4\.1\.)"")), """")"),"")</f>
        <v/>
      </c>
      <c r="N44" s="15">
        <f>IFERROR(__xludf.DUMMYFUNCTION("IF(AND(LEN(A44&amp;"""")-LEN(SUBSTITUTE(A44&amp;"""", ""."", """")) = 2, REGEXMATCH(A44&amp;"""", ""^(4\.2\.|4\.3\.)"")), 1 / SUMPRODUCT(--(LEN($A$9:$A$200&amp;"""")-LEN(SUBSTITUTE($A$9:$A$200&amp;"""", ""."", """")) = 2), --REGEXMATCH($A$9:$A$200&amp;"""", ""^(4\.2\.|4\.3\.)"")"&amp;"), """")"),0.09090909090909091)</f>
        <v>0.09090909091</v>
      </c>
      <c r="O44" s="15" t="str">
        <f>IFERROR(__xludf.DUMMYFUNCTION("IF(AND(LEN(A44&amp;"""")-LEN(SUBSTITUTE(A44&amp;"""", ""."", """")) = 2, REGEXMATCH(A44&amp;"""", ""^4\.4\."")), 1 / SUMPRODUCT(--(LEN($A$9:$A$200&amp;"""")-LEN(SUBSTITUTE($A$9:$A$200&amp;"""", ""."", """")) = 2), --REGEXMATCH($A$9:$A$200&amp;"""", ""^4\.4\."")), """")"),"")</f>
        <v/>
      </c>
      <c r="P44" s="15" t="str">
        <f>IFERROR(__xludf.DUMMYFUNCTION("IF(AND(LEN(A44&amp;"""")-LEN(SUBSTITUTE(A44&amp;"""", ""."", """")) = 2, REGEXMATCH(A44&amp;"""", ""^4\.5\.[1-3]$"")), 1 / SUMPRODUCT(--(LEN($A$9:$A$200&amp;"""")-LEN(SUBSTITUTE($A$9:$A$200&amp;"""", ""."", """")) = 2), --REGEXMATCH($A$9:$A$200&amp;"""", ""^4\.5\.[1-3]$"")), """&amp;""")"),"")</f>
        <v/>
      </c>
      <c r="Q44" s="15" t="str">
        <f>IFERROR(__xludf.DUMMYFUNCTION("IF(AND(LEN(A44&amp;"""")-LEN(SUBSTITUTE(A44&amp;"""", ""."", """")) = 2, REGEXMATCH(A44&amp;"""", ""^(4\.5\.[4-9]$|4\.6\.|5\.)"")), 1 / SUMPRODUCT(--(LEN($A$9:$A$200&amp;"""")-LEN(SUBSTITUTE($A$9:$A$200&amp;"""", ""."", """")) = 2), --REGEXMATCH($A$9:$A$200&amp;"""", ""^(4\.5\.["&amp;"4-9]$|4\.6\.|5\.)"")), """")"),"")</f>
        <v/>
      </c>
      <c r="R44" s="12" t="str">
        <f t="shared" si="1"/>
        <v>agosto 2026</v>
      </c>
      <c r="S44" s="12" t="str">
        <f t="shared" si="2"/>
        <v>agosto 2026</v>
      </c>
      <c r="AE44" s="15"/>
    </row>
    <row r="45">
      <c r="A45" s="46" t="s">
        <v>221</v>
      </c>
      <c r="B45" s="47" t="s">
        <v>222</v>
      </c>
      <c r="C45" s="49" t="s">
        <v>32</v>
      </c>
      <c r="D45" s="50">
        <v>46252.0</v>
      </c>
      <c r="E45" s="50">
        <v>46269.0</v>
      </c>
      <c r="F45" s="50">
        <v>46252.0</v>
      </c>
      <c r="G45" s="50">
        <v>46262.0</v>
      </c>
      <c r="H45" s="110"/>
      <c r="I45" s="68">
        <v>1.0</v>
      </c>
      <c r="J45" s="54">
        <f>IFERROR(__xludf.DUMMYFUNCTION("IF(OR(D45="""", E45=""""),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E45 - D45)"),17.0)</f>
        <v>17</v>
      </c>
      <c r="K45" s="55">
        <f>IFERROR(__xludf.DUMMYFUNCTION("IF(ISNUMBER(F45), IF(ISNUMBER(G45), G45 - F45, TODAY() - F45),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""""))"),10.0)</f>
        <v>10</v>
      </c>
      <c r="M45" s="15" t="str">
        <f>IFERROR(__xludf.DUMMYFUNCTION("IF(AND(LEN(A45&amp;"""")-LEN(SUBSTITUTE(A45&amp;"""", ""."", """")) = 2, REGEXMATCH(A45&amp;"""", ""^(1\.|2\.|3\.|4\.1\.)"")), 1 / SUMPRODUCT(--(LEN($A$9:$A$200&amp;"""")-LEN(SUBSTITUTE($A$9:$A$200&amp;"""", ""."", """")) = 2), --REGEXMATCH($A$9:$A$200&amp;"""", ""^(1\.|2\.|3\.|"&amp;"4\.1\.)"")), """")"),"")</f>
        <v/>
      </c>
      <c r="N45" s="15">
        <f>IFERROR(__xludf.DUMMYFUNCTION("IF(AND(LEN(A45&amp;"""")-LEN(SUBSTITUTE(A45&amp;"""", ""."", """")) = 2, REGEXMATCH(A45&amp;"""", ""^(4\.2\.|4\.3\.)"")), 1 / SUMPRODUCT(--(LEN($A$9:$A$200&amp;"""")-LEN(SUBSTITUTE($A$9:$A$200&amp;"""", ""."", """")) = 2), --REGEXMATCH($A$9:$A$200&amp;"""", ""^(4\.2\.|4\.3\.)"")"&amp;"), """")"),0.09090909090909091)</f>
        <v>0.09090909091</v>
      </c>
      <c r="O45" s="15" t="str">
        <f>IFERROR(__xludf.DUMMYFUNCTION("IF(AND(LEN(A45&amp;"""")-LEN(SUBSTITUTE(A45&amp;"""", ""."", """")) = 2, REGEXMATCH(A45&amp;"""", ""^4\.4\."")), 1 / SUMPRODUCT(--(LEN($A$9:$A$200&amp;"""")-LEN(SUBSTITUTE($A$9:$A$200&amp;"""", ""."", """")) = 2), --REGEXMATCH($A$9:$A$200&amp;"""", ""^4\.4\."")), """")"),"")</f>
        <v/>
      </c>
      <c r="P45" s="15" t="str">
        <f>IFERROR(__xludf.DUMMYFUNCTION("IF(AND(LEN(A45&amp;"""")-LEN(SUBSTITUTE(A45&amp;"""", ""."", """")) = 2, REGEXMATCH(A45&amp;"""", ""^4\.5\.[1-3]$"")), 1 / SUMPRODUCT(--(LEN($A$9:$A$200&amp;"""")-LEN(SUBSTITUTE($A$9:$A$200&amp;"""", ""."", """")) = 2), --REGEXMATCH($A$9:$A$200&amp;"""", ""^4\.5\.[1-3]$"")), """&amp;""")"),"")</f>
        <v/>
      </c>
      <c r="Q45" s="15" t="str">
        <f>IFERROR(__xludf.DUMMYFUNCTION("IF(AND(LEN(A45&amp;"""")-LEN(SUBSTITUTE(A45&amp;"""", ""."", """")) = 2, REGEXMATCH(A45&amp;"""", ""^(4\.5\.[4-9]$|4\.6\.|5\.)"")), 1 / SUMPRODUCT(--(LEN($A$9:$A$200&amp;"""")-LEN(SUBSTITUTE($A$9:$A$200&amp;"""", ""."", """")) = 2), --REGEXMATCH($A$9:$A$200&amp;"""", ""^(4\.5\.["&amp;"4-9]$|4\.6\.|5\.)"")), """")"),"")</f>
        <v/>
      </c>
      <c r="R45" s="12" t="str">
        <f t="shared" si="1"/>
        <v>septiembre 2026</v>
      </c>
      <c r="S45" s="12" t="str">
        <f t="shared" si="2"/>
        <v>agosto 2026</v>
      </c>
      <c r="AE45" s="15"/>
    </row>
    <row r="46">
      <c r="A46" s="46" t="s">
        <v>223</v>
      </c>
      <c r="B46" s="47" t="s">
        <v>224</v>
      </c>
      <c r="C46" s="49" t="s">
        <v>32</v>
      </c>
      <c r="D46" s="50">
        <v>46252.0</v>
      </c>
      <c r="E46" s="50">
        <v>46269.0</v>
      </c>
      <c r="F46" s="50">
        <v>46252.0</v>
      </c>
      <c r="G46" s="50">
        <v>46269.0</v>
      </c>
      <c r="H46" s="110"/>
      <c r="I46" s="68">
        <v>1.0</v>
      </c>
      <c r="J46" s="54">
        <f>IFERROR(__xludf.DUMMYFUNCTION("IF(OR(D46="""", E46=""""),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E46 - D46)"),17.0)</f>
        <v>17</v>
      </c>
      <c r="K46" s="55">
        <f>IFERROR(__xludf.DUMMYFUNCTION("IF(ISNUMBER(F46), IF(ISNUMBER(G46), G46 - F46, TODAY() - F46),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""""))"),17.0)</f>
        <v>17</v>
      </c>
      <c r="M46" s="15" t="str">
        <f>IFERROR(__xludf.DUMMYFUNCTION("IF(AND(LEN(A46&amp;"""")-LEN(SUBSTITUTE(A46&amp;"""", ""."", """")) = 2, REGEXMATCH(A46&amp;"""", ""^(1\.|2\.|3\.|4\.1\.)"")), 1 / SUMPRODUCT(--(LEN($A$9:$A$200&amp;"""")-LEN(SUBSTITUTE($A$9:$A$200&amp;"""", ""."", """")) = 2), --REGEXMATCH($A$9:$A$200&amp;"""", ""^(1\.|2\.|3\.|"&amp;"4\.1\.)"")), """")"),"")</f>
        <v/>
      </c>
      <c r="N46" s="15">
        <f>IFERROR(__xludf.DUMMYFUNCTION("IF(AND(LEN(A46&amp;"""")-LEN(SUBSTITUTE(A46&amp;"""", ""."", """")) = 2, REGEXMATCH(A46&amp;"""", ""^(4\.2\.|4\.3\.)"")), 1 / SUMPRODUCT(--(LEN($A$9:$A$200&amp;"""")-LEN(SUBSTITUTE($A$9:$A$200&amp;"""", ""."", """")) = 2), --REGEXMATCH($A$9:$A$200&amp;"""", ""^(4\.2\.|4\.3\.)"")"&amp;"), """")"),0.09090909090909091)</f>
        <v>0.09090909091</v>
      </c>
      <c r="O46" s="15" t="str">
        <f>IFERROR(__xludf.DUMMYFUNCTION("IF(AND(LEN(A46&amp;"""")-LEN(SUBSTITUTE(A46&amp;"""", ""."", """")) = 2, REGEXMATCH(A46&amp;"""", ""^4\.4\."")), 1 / SUMPRODUCT(--(LEN($A$9:$A$200&amp;"""")-LEN(SUBSTITUTE($A$9:$A$200&amp;"""", ""."", """")) = 2), --REGEXMATCH($A$9:$A$200&amp;"""", ""^4\.4\."")), """")"),"")</f>
        <v/>
      </c>
      <c r="P46" s="15" t="str">
        <f>IFERROR(__xludf.DUMMYFUNCTION("IF(AND(LEN(A46&amp;"""")-LEN(SUBSTITUTE(A46&amp;"""", ""."", """")) = 2, REGEXMATCH(A46&amp;"""", ""^4\.5\.[1-3]$"")), 1 / SUMPRODUCT(--(LEN($A$9:$A$200&amp;"""")-LEN(SUBSTITUTE($A$9:$A$200&amp;"""", ""."", """")) = 2), --REGEXMATCH($A$9:$A$200&amp;"""", ""^4\.5\.[1-3]$"")), """&amp;""")"),"")</f>
        <v/>
      </c>
      <c r="Q46" s="15" t="str">
        <f>IFERROR(__xludf.DUMMYFUNCTION("IF(AND(LEN(A46&amp;"""")-LEN(SUBSTITUTE(A46&amp;"""", ""."", """")) = 2, REGEXMATCH(A46&amp;"""", ""^(4\.5\.[4-9]$|4\.6\.|5\.)"")), 1 / SUMPRODUCT(--(LEN($A$9:$A$200&amp;"""")-LEN(SUBSTITUTE($A$9:$A$200&amp;"""", ""."", """")) = 2), --REGEXMATCH($A$9:$A$200&amp;"""", ""^(4\.5\.["&amp;"4-9]$|4\.6\.|5\.)"")), """")"),"")</f>
        <v/>
      </c>
      <c r="R46" s="12" t="str">
        <f t="shared" si="1"/>
        <v>septiembre 2026</v>
      </c>
      <c r="S46" s="12" t="str">
        <f t="shared" si="2"/>
        <v>septiembre 2026</v>
      </c>
      <c r="AE46" s="15"/>
    </row>
    <row r="47">
      <c r="A47" s="46">
        <v>4.3</v>
      </c>
      <c r="B47" s="47" t="s">
        <v>226</v>
      </c>
      <c r="C47" s="46" t="s">
        <v>227</v>
      </c>
      <c r="D47" s="50">
        <v>46286.0</v>
      </c>
      <c r="E47" s="50">
        <v>46349.0</v>
      </c>
      <c r="F47" s="50">
        <v>46286.0</v>
      </c>
      <c r="G47" s="50"/>
      <c r="H47" s="110" t="s">
        <v>228</v>
      </c>
      <c r="I47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0)"),0.6666666666666666)</f>
        <v>0.6666666667</v>
      </c>
      <c r="J47" s="54">
        <f>IFERROR(__xludf.DUMMYFUNCTION("IF(OR(D47="""", E47=""""),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E47 - D47)"),63.0)</f>
        <v>63</v>
      </c>
      <c r="K47" s="55">
        <f>IFERROR(__xludf.DUMMYFUNCTION("IF(ISNUMBER(F47), IF(ISNUMBER(G47), G47 - F47, TODAY() - F47),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""""))"),36.0)</f>
        <v>36</v>
      </c>
      <c r="M47" s="15" t="str">
        <f>IFERROR(__xludf.DUMMYFUNCTION("IF(AND(LEN(A47&amp;"""")-LEN(SUBSTITUTE(A47&amp;"""", ""."", """")) = 2, REGEXMATCH(A47&amp;"""", ""^(1\.|2\.|3\.|4\.1\.)"")), 1 / SUMPRODUCT(--(LEN($A$9:$A$200&amp;"""")-LEN(SUBSTITUTE($A$9:$A$200&amp;"""", ""."", """")) = 2), --REGEXMATCH($A$9:$A$200&amp;"""", ""^(1\.|2\.|3\.|"&amp;"4\.1\.)"")), """")"),"")</f>
        <v/>
      </c>
      <c r="N47" s="15" t="str">
        <f>IFERROR(__xludf.DUMMYFUNCTION("IF(AND(LEN(A47&amp;"""")-LEN(SUBSTITUTE(A47&amp;"""", ""."", """")) = 2, REGEXMATCH(A47&amp;"""", ""^(4\.2\.|4\.3\.)"")), 1 / SUMPRODUCT(--(LEN($A$9:$A$200&amp;"""")-LEN(SUBSTITUTE($A$9:$A$200&amp;"""", ""."", """")) = 2), --REGEXMATCH($A$9:$A$200&amp;"""", ""^(4\.2\.|4\.3\.)"")"&amp;"), """")"),"")</f>
        <v/>
      </c>
      <c r="O47" s="15" t="str">
        <f>IFERROR(__xludf.DUMMYFUNCTION("IF(AND(LEN(A47&amp;"""")-LEN(SUBSTITUTE(A47&amp;"""", ""."", """")) = 2, REGEXMATCH(A47&amp;"""", ""^4\.4\."")), 1 / SUMPRODUCT(--(LEN($A$9:$A$200&amp;"""")-LEN(SUBSTITUTE($A$9:$A$200&amp;"""", ""."", """")) = 2), --REGEXMATCH($A$9:$A$200&amp;"""", ""^4\.4\."")), """")"),"")</f>
        <v/>
      </c>
      <c r="P47" s="15" t="str">
        <f>IFERROR(__xludf.DUMMYFUNCTION("IF(AND(LEN(A47&amp;"""")-LEN(SUBSTITUTE(A47&amp;"""", ""."", """")) = 2, REGEXMATCH(A47&amp;"""", ""^4\.5\.[1-3]$"")), 1 / SUMPRODUCT(--(LEN($A$9:$A$200&amp;"""")-LEN(SUBSTITUTE($A$9:$A$200&amp;"""", ""."", """")) = 2), --REGEXMATCH($A$9:$A$200&amp;"""", ""^4\.5\.[1-3]$"")), """&amp;""")"),"")</f>
        <v/>
      </c>
      <c r="Q47" s="15" t="str">
        <f>IFERROR(__xludf.DUMMYFUNCTION("IF(AND(LEN(A47&amp;"""")-LEN(SUBSTITUTE(A47&amp;"""", ""."", """")) = 2, REGEXMATCH(A47&amp;"""", ""^(4\.5\.[4-9]$|4\.6\.|5\.)"")), 1 / SUMPRODUCT(--(LEN($A$9:$A$200&amp;"""")-LEN(SUBSTITUTE($A$9:$A$200&amp;"""", ""."", """")) = 2), --REGEXMATCH($A$9:$A$200&amp;"""", ""^(4\.5\.["&amp;"4-9]$|4\.6\.|5\.)"")), """")"),"")</f>
        <v/>
      </c>
      <c r="R47" s="12" t="str">
        <f t="shared" si="1"/>
        <v>noviembre 2026</v>
      </c>
      <c r="S47" s="12" t="str">
        <f t="shared" si="2"/>
        <v/>
      </c>
    </row>
    <row r="48">
      <c r="A48" s="46" t="s">
        <v>229</v>
      </c>
      <c r="B48" s="47" t="s">
        <v>230</v>
      </c>
      <c r="C48" s="46" t="s">
        <v>227</v>
      </c>
      <c r="D48" s="50">
        <v>46280.0</v>
      </c>
      <c r="E48" s="50">
        <v>46349.0</v>
      </c>
      <c r="F48" s="50">
        <v>46286.0</v>
      </c>
      <c r="G48" s="50"/>
      <c r="H48" s="110"/>
      <c r="I48" s="68">
        <v>0.0</v>
      </c>
      <c r="J48" s="54">
        <f>IFERROR(__xludf.DUMMYFUNCTION("IF(OR(D48="""", E48=""""),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E48 - D48)"),69.0)</f>
        <v>69</v>
      </c>
      <c r="K48" s="55">
        <f>IFERROR(__xludf.DUMMYFUNCTION("IF(ISNUMBER(F48), IF(ISNUMBER(G48), G48 - F48, TODAY() - F48),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""""))"),36.0)</f>
        <v>36</v>
      </c>
      <c r="M48" s="15" t="str">
        <f>IFERROR(__xludf.DUMMYFUNCTION("IF(AND(LEN(A48&amp;"""")-LEN(SUBSTITUTE(A48&amp;"""", ""."", """")) = 2, REGEXMATCH(A48&amp;"""", ""^(1\.|2\.|3\.|4\.1\.)"")), 1 / SUMPRODUCT(--(LEN($A$9:$A$200&amp;"""")-LEN(SUBSTITUTE($A$9:$A$200&amp;"""", ""."", """")) = 2), --REGEXMATCH($A$9:$A$200&amp;"""", ""^(1\.|2\.|3\.|"&amp;"4\.1\.)"")), """")"),"")</f>
        <v/>
      </c>
      <c r="N48" s="15">
        <f>IFERROR(__xludf.DUMMYFUNCTION("IF(AND(LEN(A48&amp;"""")-LEN(SUBSTITUTE(A48&amp;"""", ""."", """")) = 2, REGEXMATCH(A48&amp;"""", ""^(4\.2\.|4\.3\.)"")), 1 / SUMPRODUCT(--(LEN($A$9:$A$200&amp;"""")-LEN(SUBSTITUTE($A$9:$A$200&amp;"""", ""."", """")) = 2), --REGEXMATCH($A$9:$A$200&amp;"""", ""^(4\.2\.|4\.3\.)"")"&amp;"), """")"),0.09090909090909091)</f>
        <v>0.09090909091</v>
      </c>
      <c r="O48" s="15" t="str">
        <f>IFERROR(__xludf.DUMMYFUNCTION("IF(AND(LEN(A48&amp;"""")-LEN(SUBSTITUTE(A48&amp;"""", ""."", """")) = 2, REGEXMATCH(A48&amp;"""", ""^4\.4\."")), 1 / SUMPRODUCT(--(LEN($A$9:$A$200&amp;"""")-LEN(SUBSTITUTE($A$9:$A$200&amp;"""", ""."", """")) = 2), --REGEXMATCH($A$9:$A$200&amp;"""", ""^4\.4\."")), """")"),"")</f>
        <v/>
      </c>
      <c r="P48" s="15" t="str">
        <f>IFERROR(__xludf.DUMMYFUNCTION("IF(AND(LEN(A48&amp;"""")-LEN(SUBSTITUTE(A48&amp;"""", ""."", """")) = 2, REGEXMATCH(A48&amp;"""", ""^4\.5\.[1-3]$"")), 1 / SUMPRODUCT(--(LEN($A$9:$A$200&amp;"""")-LEN(SUBSTITUTE($A$9:$A$200&amp;"""", ""."", """")) = 2), --REGEXMATCH($A$9:$A$200&amp;"""", ""^4\.5\.[1-3]$"")), """&amp;""")"),"")</f>
        <v/>
      </c>
      <c r="Q48" s="15" t="str">
        <f>IFERROR(__xludf.DUMMYFUNCTION("IF(AND(LEN(A48&amp;"""")-LEN(SUBSTITUTE(A48&amp;"""", ""."", """")) = 2, REGEXMATCH(A48&amp;"""", ""^(4\.5\.[4-9]$|4\.6\.|5\.)"")), 1 / SUMPRODUCT(--(LEN($A$9:$A$200&amp;"""")-LEN(SUBSTITUTE($A$9:$A$200&amp;"""", ""."", """")) = 2), --REGEXMATCH($A$9:$A$200&amp;"""", ""^(4\.5\.["&amp;"4-9]$|4\.6\.|5\.)"")), """")"),"")</f>
        <v/>
      </c>
      <c r="R48" s="12" t="str">
        <f t="shared" si="1"/>
        <v>noviembre 2026</v>
      </c>
      <c r="S48" s="12" t="str">
        <f t="shared" si="2"/>
        <v/>
      </c>
    </row>
    <row r="49">
      <c r="A49" s="46" t="s">
        <v>231</v>
      </c>
      <c r="B49" s="47" t="s">
        <v>232</v>
      </c>
      <c r="C49" s="46" t="s">
        <v>205</v>
      </c>
      <c r="D49" s="50">
        <v>46294.0</v>
      </c>
      <c r="E49" s="50">
        <v>46301.0</v>
      </c>
      <c r="F49" s="50">
        <v>46279.0</v>
      </c>
      <c r="G49" s="50">
        <v>46283.0</v>
      </c>
      <c r="H49" s="110"/>
      <c r="I49" s="68">
        <v>1.0</v>
      </c>
      <c r="J49" s="54">
        <f>IFERROR(__xludf.DUMMYFUNCTION("IF(OR(D49="""", E49=""""),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E49 - D49)"),7.0)</f>
        <v>7</v>
      </c>
      <c r="K49" s="55">
        <f>IFERROR(__xludf.DUMMYFUNCTION("IF(ISNUMBER(F49), IF(ISNUMBER(G49), G49 - F49, TODAY() - F49),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""""))"),4.0)</f>
        <v>4</v>
      </c>
      <c r="M49" s="15" t="str">
        <f>IFERROR(__xludf.DUMMYFUNCTION("IF(AND(LEN(A49&amp;"""")-LEN(SUBSTITUTE(A49&amp;"""", ""."", """")) = 2, REGEXMATCH(A49&amp;"""", ""^(1\.|2\.|3\.|4\.1\.)"")), 1 / SUMPRODUCT(--(LEN($A$9:$A$200&amp;"""")-LEN(SUBSTITUTE($A$9:$A$200&amp;"""", ""."", """")) = 2), --REGEXMATCH($A$9:$A$200&amp;"""", ""^(1\.|2\.|3\.|"&amp;"4\.1\.)"")), """")"),"")</f>
        <v/>
      </c>
      <c r="N49" s="15">
        <f>IFERROR(__xludf.DUMMYFUNCTION("IF(AND(LEN(A49&amp;"""")-LEN(SUBSTITUTE(A49&amp;"""", ""."", """")) = 2, REGEXMATCH(A49&amp;"""", ""^(4\.2\.|4\.3\.)"")), 1 / SUMPRODUCT(--(LEN($A$9:$A$200&amp;"""")-LEN(SUBSTITUTE($A$9:$A$200&amp;"""", ""."", """")) = 2), --REGEXMATCH($A$9:$A$200&amp;"""", ""^(4\.2\.|4\.3\.)"")"&amp;"), """")"),0.09090909090909091)</f>
        <v>0.09090909091</v>
      </c>
      <c r="O49" s="15" t="str">
        <f>IFERROR(__xludf.DUMMYFUNCTION("IF(AND(LEN(A49&amp;"""")-LEN(SUBSTITUTE(A49&amp;"""", ""."", """")) = 2, REGEXMATCH(A49&amp;"""", ""^4\.4\."")), 1 / SUMPRODUCT(--(LEN($A$9:$A$200&amp;"""")-LEN(SUBSTITUTE($A$9:$A$200&amp;"""", ""."", """")) = 2), --REGEXMATCH($A$9:$A$200&amp;"""", ""^4\.4\."")), """")"),"")</f>
        <v/>
      </c>
      <c r="P49" s="15" t="str">
        <f>IFERROR(__xludf.DUMMYFUNCTION("IF(AND(LEN(A49&amp;"""")-LEN(SUBSTITUTE(A49&amp;"""", ""."", """")) = 2, REGEXMATCH(A49&amp;"""", ""^4\.5\.[1-3]$"")), 1 / SUMPRODUCT(--(LEN($A$9:$A$200&amp;"""")-LEN(SUBSTITUTE($A$9:$A$200&amp;"""", ""."", """")) = 2), --REGEXMATCH($A$9:$A$200&amp;"""", ""^4\.5\.[1-3]$"")), """&amp;""")"),"")</f>
        <v/>
      </c>
      <c r="Q49" s="15" t="str">
        <f>IFERROR(__xludf.DUMMYFUNCTION("IF(AND(LEN(A49&amp;"""")-LEN(SUBSTITUTE(A49&amp;"""", ""."", """")) = 2, REGEXMATCH(A49&amp;"""", ""^(4\.5\.[4-9]$|4\.6\.|5\.)"")), 1 / SUMPRODUCT(--(LEN($A$9:$A$200&amp;"""")-LEN(SUBSTITUTE($A$9:$A$200&amp;"""", ""."", """")) = 2), --REGEXMATCH($A$9:$A$200&amp;"""", ""^(4\.5\.["&amp;"4-9]$|4\.6\.|5\.)"")), """")"),"")</f>
        <v/>
      </c>
      <c r="R49" s="12" t="str">
        <f t="shared" si="1"/>
        <v>octubre 2026</v>
      </c>
      <c r="S49" s="12" t="str">
        <f t="shared" si="2"/>
        <v>septiembre 2026</v>
      </c>
    </row>
    <row r="50">
      <c r="A50" s="46" t="s">
        <v>233</v>
      </c>
      <c r="B50" s="47" t="s">
        <v>234</v>
      </c>
      <c r="C50" s="46" t="s">
        <v>205</v>
      </c>
      <c r="D50" s="50">
        <v>46301.0</v>
      </c>
      <c r="E50" s="50">
        <v>46308.0</v>
      </c>
      <c r="F50" s="50">
        <v>46279.0</v>
      </c>
      <c r="G50" s="50">
        <v>46283.0</v>
      </c>
      <c r="H50" s="110"/>
      <c r="I50" s="68">
        <v>1.0</v>
      </c>
      <c r="J50" s="54">
        <f>IFERROR(__xludf.DUMMYFUNCTION("IF(OR(D50="""", E50=""""),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E50 - D50)"),7.0)</f>
        <v>7</v>
      </c>
      <c r="K50" s="55">
        <f>IFERROR(__xludf.DUMMYFUNCTION("IF(ISNUMBER(F50), IF(ISNUMBER(G50), G50 - F50, TODAY() - F50),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""""))"),4.0)</f>
        <v>4</v>
      </c>
      <c r="M50" s="15" t="str">
        <f>IFERROR(__xludf.DUMMYFUNCTION("IF(AND(LEN(A50&amp;"""")-LEN(SUBSTITUTE(A50&amp;"""", ""."", """")) = 2, REGEXMATCH(A50&amp;"""", ""^(1\.|2\.|3\.|4\.1\.)"")), 1 / SUMPRODUCT(--(LEN($A$9:$A$200&amp;"""")-LEN(SUBSTITUTE($A$9:$A$200&amp;"""", ""."", """")) = 2), --REGEXMATCH($A$9:$A$200&amp;"""", ""^(1\.|2\.|3\.|"&amp;"4\.1\.)"")), """")"),"")</f>
        <v/>
      </c>
      <c r="N50" s="15">
        <f>IFERROR(__xludf.DUMMYFUNCTION("IF(AND(LEN(A50&amp;"""")-LEN(SUBSTITUTE(A50&amp;"""", ""."", """")) = 2, REGEXMATCH(A50&amp;"""", ""^(4\.2\.|4\.3\.)"")), 1 / SUMPRODUCT(--(LEN($A$9:$A$200&amp;"""")-LEN(SUBSTITUTE($A$9:$A$200&amp;"""", ""."", """")) = 2), --REGEXMATCH($A$9:$A$200&amp;"""", ""^(4\.2\.|4\.3\.)"")"&amp;"), """")"),0.09090909090909091)</f>
        <v>0.09090909091</v>
      </c>
      <c r="O50" s="15" t="str">
        <f>IFERROR(__xludf.DUMMYFUNCTION("IF(AND(LEN(A50&amp;"""")-LEN(SUBSTITUTE(A50&amp;"""", ""."", """")) = 2, REGEXMATCH(A50&amp;"""", ""^4\.4\."")), 1 / SUMPRODUCT(--(LEN($A$9:$A$200&amp;"""")-LEN(SUBSTITUTE($A$9:$A$200&amp;"""", ""."", """")) = 2), --REGEXMATCH($A$9:$A$200&amp;"""", ""^4\.4\."")), """")"),"")</f>
        <v/>
      </c>
      <c r="P50" s="15" t="str">
        <f>IFERROR(__xludf.DUMMYFUNCTION("IF(AND(LEN(A50&amp;"""")-LEN(SUBSTITUTE(A50&amp;"""", ""."", """")) = 2, REGEXMATCH(A50&amp;"""", ""^4\.5\.[1-3]$"")), 1 / SUMPRODUCT(--(LEN($A$9:$A$200&amp;"""")-LEN(SUBSTITUTE($A$9:$A$200&amp;"""", ""."", """")) = 2), --REGEXMATCH($A$9:$A$200&amp;"""", ""^4\.5\.[1-3]$"")), """&amp;""")"),"")</f>
        <v/>
      </c>
      <c r="Q50" s="15" t="str">
        <f>IFERROR(__xludf.DUMMYFUNCTION("IF(AND(LEN(A50&amp;"""")-LEN(SUBSTITUTE(A50&amp;"""", ""."", """")) = 2, REGEXMATCH(A50&amp;"""", ""^(4\.5\.[4-9]$|4\.6\.|5\.)"")), 1 / SUMPRODUCT(--(LEN($A$9:$A$200&amp;"""")-LEN(SUBSTITUTE($A$9:$A$200&amp;"""", ""."", """")) = 2), --REGEXMATCH($A$9:$A$200&amp;"""", ""^(4\.5\.["&amp;"4-9]$|4\.6\.|5\.)"")), """")"),"")</f>
        <v/>
      </c>
      <c r="R50" s="12" t="str">
        <f t="shared" si="1"/>
        <v>octubre 2026</v>
      </c>
      <c r="S50" s="12" t="str">
        <f t="shared" si="2"/>
        <v>septiembre 2026</v>
      </c>
    </row>
    <row r="51">
      <c r="A51" s="46" t="s">
        <v>235</v>
      </c>
      <c r="B51" s="47" t="s">
        <v>236</v>
      </c>
      <c r="C51" s="46" t="s">
        <v>205</v>
      </c>
      <c r="D51" s="50">
        <v>46308.0</v>
      </c>
      <c r="E51" s="50">
        <v>46315.0</v>
      </c>
      <c r="F51" s="50">
        <v>46279.0</v>
      </c>
      <c r="G51" s="50">
        <v>46283.0</v>
      </c>
      <c r="H51" s="110"/>
      <c r="I51" s="68">
        <v>1.0</v>
      </c>
      <c r="J51" s="54">
        <f>IFERROR(__xludf.DUMMYFUNCTION("IF(OR(D51="""", E51=""""),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E51 - D51)"),7.0)</f>
        <v>7</v>
      </c>
      <c r="K51" s="55">
        <f>IFERROR(__xludf.DUMMYFUNCTION("IF(ISNUMBER(F51), IF(ISNUMBER(G51), G51 - F51, TODAY() - F51),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""""))"),4.0)</f>
        <v>4</v>
      </c>
      <c r="M51" s="15" t="str">
        <f>IFERROR(__xludf.DUMMYFUNCTION("IF(AND(LEN(A51&amp;"""")-LEN(SUBSTITUTE(A51&amp;"""", ""."", """")) = 2, REGEXMATCH(A51&amp;"""", ""^(1\.|2\.|3\.|4\.1\.)"")), 1 / SUMPRODUCT(--(LEN($A$9:$A$200&amp;"""")-LEN(SUBSTITUTE($A$9:$A$200&amp;"""", ""."", """")) = 2), --REGEXMATCH($A$9:$A$200&amp;"""", ""^(1\.|2\.|3\.|"&amp;"4\.1\.)"")), """")"),"")</f>
        <v/>
      </c>
      <c r="N51" s="15">
        <f>IFERROR(__xludf.DUMMYFUNCTION("IF(AND(LEN(A51&amp;"""")-LEN(SUBSTITUTE(A51&amp;"""", ""."", """")) = 2, REGEXMATCH(A51&amp;"""", ""^(4\.2\.|4\.3\.)"")), 1 / SUMPRODUCT(--(LEN($A$9:$A$200&amp;"""")-LEN(SUBSTITUTE($A$9:$A$200&amp;"""", ""."", """")) = 2), --REGEXMATCH($A$9:$A$200&amp;"""", ""^(4\.2\.|4\.3\.)"")"&amp;"), """")"),0.09090909090909091)</f>
        <v>0.09090909091</v>
      </c>
      <c r="O51" s="15" t="str">
        <f>IFERROR(__xludf.DUMMYFUNCTION("IF(AND(LEN(A51&amp;"""")-LEN(SUBSTITUTE(A51&amp;"""", ""."", """")) = 2, REGEXMATCH(A51&amp;"""", ""^4\.4\."")), 1 / SUMPRODUCT(--(LEN($A$9:$A$200&amp;"""")-LEN(SUBSTITUTE($A$9:$A$200&amp;"""", ""."", """")) = 2), --REGEXMATCH($A$9:$A$200&amp;"""", ""^4\.4\."")), """")"),"")</f>
        <v/>
      </c>
      <c r="P51" s="15" t="str">
        <f>IFERROR(__xludf.DUMMYFUNCTION("IF(AND(LEN(A51&amp;"""")-LEN(SUBSTITUTE(A51&amp;"""", ""."", """")) = 2, REGEXMATCH(A51&amp;"""", ""^4\.5\.[1-3]$"")), 1 / SUMPRODUCT(--(LEN($A$9:$A$200&amp;"""")-LEN(SUBSTITUTE($A$9:$A$200&amp;"""", ""."", """")) = 2), --REGEXMATCH($A$9:$A$200&amp;"""", ""^4\.5\.[1-3]$"")), """&amp;""")"),"")</f>
        <v/>
      </c>
      <c r="Q51" s="15" t="str">
        <f>IFERROR(__xludf.DUMMYFUNCTION("IF(AND(LEN(A51&amp;"""")-LEN(SUBSTITUTE(A51&amp;"""", ""."", """")) = 2, REGEXMATCH(A51&amp;"""", ""^(4\.5\.[4-9]$|4\.6\.|5\.)"")), 1 / SUMPRODUCT(--(LEN($A$9:$A$200&amp;"""")-LEN(SUBSTITUTE($A$9:$A$200&amp;"""", ""."", """")) = 2), --REGEXMATCH($A$9:$A$200&amp;"""", ""^(4\.5\.["&amp;"4-9]$|4\.6\.|5\.)"")), """")"),"")</f>
        <v/>
      </c>
      <c r="R51" s="12" t="str">
        <f t="shared" si="1"/>
        <v>octubre 2026</v>
      </c>
      <c r="S51" s="12" t="str">
        <f t="shared" si="2"/>
        <v>septiembre 2026</v>
      </c>
      <c r="U51" s="33" t="s">
        <v>285</v>
      </c>
      <c r="AE51" s="15"/>
    </row>
    <row r="52">
      <c r="A52" s="46" t="s">
        <v>237</v>
      </c>
      <c r="B52" s="47" t="s">
        <v>238</v>
      </c>
      <c r="C52" s="46" t="s">
        <v>205</v>
      </c>
      <c r="D52" s="50">
        <v>46315.0</v>
      </c>
      <c r="E52" s="50">
        <v>46322.0</v>
      </c>
      <c r="F52" s="50">
        <v>46279.0</v>
      </c>
      <c r="G52" s="50">
        <v>46283.0</v>
      </c>
      <c r="H52" s="110"/>
      <c r="I52" s="68">
        <v>1.0</v>
      </c>
      <c r="J52" s="54">
        <f>IFERROR(__xludf.DUMMYFUNCTION("IF(OR(D52="""", E52=""""),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E52 - D52)"),7.0)</f>
        <v>7</v>
      </c>
      <c r="K52" s="55">
        <f>IFERROR(__xludf.DUMMYFUNCTION("IF(ISNUMBER(F52), IF(ISNUMBER(G52), G52 - F52, TODAY() - F52),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""""))"),4.0)</f>
        <v>4</v>
      </c>
      <c r="M52" s="15" t="str">
        <f>IFERROR(__xludf.DUMMYFUNCTION("IF(AND(LEN(A52&amp;"""")-LEN(SUBSTITUTE(A52&amp;"""", ""."", """")) = 2, REGEXMATCH(A52&amp;"""", ""^(1\.|2\.|3\.|4\.1\.)"")), 1 / SUMPRODUCT(--(LEN($A$9:$A$200&amp;"""")-LEN(SUBSTITUTE($A$9:$A$200&amp;"""", ""."", """")) = 2), --REGEXMATCH($A$9:$A$200&amp;"""", ""^(1\.|2\.|3\.|"&amp;"4\.1\.)"")), """")"),"")</f>
        <v/>
      </c>
      <c r="N52" s="15">
        <f>IFERROR(__xludf.DUMMYFUNCTION("IF(AND(LEN(A52&amp;"""")-LEN(SUBSTITUTE(A52&amp;"""", ""."", """")) = 2, REGEXMATCH(A52&amp;"""", ""^(4\.2\.|4\.3\.)"")), 1 / SUMPRODUCT(--(LEN($A$9:$A$200&amp;"""")-LEN(SUBSTITUTE($A$9:$A$200&amp;"""", ""."", """")) = 2), --REGEXMATCH($A$9:$A$200&amp;"""", ""^(4\.2\.|4\.3\.)"")"&amp;"), """")"),0.09090909090909091)</f>
        <v>0.09090909091</v>
      </c>
      <c r="O52" s="15" t="str">
        <f>IFERROR(__xludf.DUMMYFUNCTION("IF(AND(LEN(A52&amp;"""")-LEN(SUBSTITUTE(A52&amp;"""", ""."", """")) = 2, REGEXMATCH(A52&amp;"""", ""^4\.4\."")), 1 / SUMPRODUCT(--(LEN($A$9:$A$200&amp;"""")-LEN(SUBSTITUTE($A$9:$A$200&amp;"""", ""."", """")) = 2), --REGEXMATCH($A$9:$A$200&amp;"""", ""^4\.4\."")), """")"),"")</f>
        <v/>
      </c>
      <c r="P52" s="15" t="str">
        <f>IFERROR(__xludf.DUMMYFUNCTION("IF(AND(LEN(A52&amp;"""")-LEN(SUBSTITUTE(A52&amp;"""", ""."", """")) = 2, REGEXMATCH(A52&amp;"""", ""^4\.5\.[1-3]$"")), 1 / SUMPRODUCT(--(LEN($A$9:$A$200&amp;"""")-LEN(SUBSTITUTE($A$9:$A$200&amp;"""", ""."", """")) = 2), --REGEXMATCH($A$9:$A$200&amp;"""", ""^4\.5\.[1-3]$"")), """&amp;""")"),"")</f>
        <v/>
      </c>
      <c r="Q52" s="15" t="str">
        <f>IFERROR(__xludf.DUMMYFUNCTION("IF(AND(LEN(A52&amp;"""")-LEN(SUBSTITUTE(A52&amp;"""", ""."", """")) = 2, REGEXMATCH(A52&amp;"""", ""^(4\.5\.[4-9]$|4\.6\.|5\.)"")), 1 / SUMPRODUCT(--(LEN($A$9:$A$200&amp;"""")-LEN(SUBSTITUTE($A$9:$A$200&amp;"""", ""."", """")) = 2), --REGEXMATCH($A$9:$A$200&amp;"""", ""^(4\.5\.["&amp;"4-9]$|4\.6\.|5\.)"")), """")"),"")</f>
        <v/>
      </c>
      <c r="R52" s="12" t="str">
        <f t="shared" si="1"/>
        <v>octubre 2026</v>
      </c>
      <c r="S52" s="12" t="str">
        <f t="shared" si="2"/>
        <v>septiembre 2026</v>
      </c>
      <c r="U52" s="43" t="s">
        <v>51</v>
      </c>
      <c r="V52" s="43" t="s">
        <v>52</v>
      </c>
      <c r="W52" s="43" t="s">
        <v>54</v>
      </c>
      <c r="X52" s="43"/>
      <c r="Y52" s="43" t="s">
        <v>51</v>
      </c>
      <c r="Z52" s="43" t="s">
        <v>55</v>
      </c>
      <c r="AA52" s="43" t="s">
        <v>56</v>
      </c>
      <c r="AE52" s="15"/>
    </row>
    <row r="53">
      <c r="A53" s="46" t="s">
        <v>239</v>
      </c>
      <c r="B53" s="47" t="s">
        <v>240</v>
      </c>
      <c r="C53" s="46" t="s">
        <v>227</v>
      </c>
      <c r="D53" s="50">
        <v>46322.0</v>
      </c>
      <c r="E53" s="50">
        <v>46336.0</v>
      </c>
      <c r="F53" s="50"/>
      <c r="G53" s="50"/>
      <c r="H53" s="110"/>
      <c r="I53" s="68">
        <v>0.0</v>
      </c>
      <c r="J53" s="54">
        <f>IFERROR(__xludf.DUMMYFUNCTION("IF(OR(D53="""", E53=""""),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E53 - D53)"),14.0)</f>
        <v>14</v>
      </c>
      <c r="K53" s="55" t="str">
        <f>IFERROR(__xludf.DUMMYFUNCTION("IF(ISNUMBER(F53), IF(ISNUMBER(G53), G53 - F53, TODAY() - F53),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53" s="15" t="str">
        <f>IFERROR(__xludf.DUMMYFUNCTION("IF(AND(LEN(A53&amp;"""")-LEN(SUBSTITUTE(A53&amp;"""", ""."", """")) = 2, REGEXMATCH(A53&amp;"""", ""^(1\.|2\.|3\.|4\.1\.)"")), 1 / SUMPRODUCT(--(LEN($A$9:$A$200&amp;"""")-LEN(SUBSTITUTE($A$9:$A$200&amp;"""", ""."", """")) = 2), --REGEXMATCH($A$9:$A$200&amp;"""", ""^(1\.|2\.|3\.|"&amp;"4\.1\.)"")), """")"),"")</f>
        <v/>
      </c>
      <c r="N53" s="15">
        <f>IFERROR(__xludf.DUMMYFUNCTION("IF(AND(LEN(A53&amp;"""")-LEN(SUBSTITUTE(A53&amp;"""", ""."", """")) = 2, REGEXMATCH(A53&amp;"""", ""^(4\.2\.|4\.3\.)"")), 1 / SUMPRODUCT(--(LEN($A$9:$A$200&amp;"""")-LEN(SUBSTITUTE($A$9:$A$200&amp;"""", ""."", """")) = 2), --REGEXMATCH($A$9:$A$200&amp;"""", ""^(4\.2\.|4\.3\.)"")"&amp;"), """")"),0.09090909090909091)</f>
        <v>0.09090909091</v>
      </c>
      <c r="O53" s="15" t="str">
        <f>IFERROR(__xludf.DUMMYFUNCTION("IF(AND(LEN(A53&amp;"""")-LEN(SUBSTITUTE(A53&amp;"""", ""."", """")) = 2, REGEXMATCH(A53&amp;"""", ""^4\.4\."")), 1 / SUMPRODUCT(--(LEN($A$9:$A$200&amp;"""")-LEN(SUBSTITUTE($A$9:$A$200&amp;"""", ""."", """")) = 2), --REGEXMATCH($A$9:$A$200&amp;"""", ""^4\.4\."")), """")"),"")</f>
        <v/>
      </c>
      <c r="P53" s="15" t="str">
        <f>IFERROR(__xludf.DUMMYFUNCTION("IF(AND(LEN(A53&amp;"""")-LEN(SUBSTITUTE(A53&amp;"""", ""."", """")) = 2, REGEXMATCH(A53&amp;"""", ""^4\.5\.[1-3]$"")), 1 / SUMPRODUCT(--(LEN($A$9:$A$200&amp;"""")-LEN(SUBSTITUTE($A$9:$A$200&amp;"""", ""."", """")) = 2), --REGEXMATCH($A$9:$A$200&amp;"""", ""^4\.5\.[1-3]$"")), """&amp;""")"),"")</f>
        <v/>
      </c>
      <c r="Q53" s="15" t="str">
        <f>IFERROR(__xludf.DUMMYFUNCTION("IF(AND(LEN(A53&amp;"""")-LEN(SUBSTITUTE(A53&amp;"""", ""."", """")) = 2, REGEXMATCH(A53&amp;"""", ""^(4\.5\.[4-9]$|4\.6\.|5\.)"")), 1 / SUMPRODUCT(--(LEN($A$9:$A$200&amp;"""")-LEN(SUBSTITUTE($A$9:$A$200&amp;"""", ""."", """")) = 2), --REGEXMATCH($A$9:$A$200&amp;"""", ""^(4\.5\.["&amp;"4-9]$|4\.6\.|5\.)"")), """")"),"")</f>
        <v/>
      </c>
      <c r="R53" s="12" t="str">
        <f t="shared" si="1"/>
        <v>noviembre 2026</v>
      </c>
      <c r="S53" s="12" t="str">
        <f t="shared" si="2"/>
        <v/>
      </c>
      <c r="U53" s="12" t="s">
        <v>172</v>
      </c>
      <c r="V53" s="15">
        <v>0.0</v>
      </c>
      <c r="W53" s="15">
        <f>V53</f>
        <v>0</v>
      </c>
      <c r="Y53" s="12" t="s">
        <v>172</v>
      </c>
      <c r="Z53" s="15">
        <v>0.0</v>
      </c>
      <c r="AA53" s="15">
        <f>Z53</f>
        <v>0</v>
      </c>
      <c r="AE53" s="15"/>
    </row>
    <row r="54">
      <c r="A54" s="46">
        <v>4.4</v>
      </c>
      <c r="B54" s="47" t="s">
        <v>241</v>
      </c>
      <c r="C54" s="46" t="s">
        <v>163</v>
      </c>
      <c r="D54" s="50">
        <v>46286.0</v>
      </c>
      <c r="E54" s="50">
        <v>46314.0</v>
      </c>
      <c r="F54" s="50">
        <v>46286.0</v>
      </c>
      <c r="G54" s="50"/>
      <c r="H54" s="110"/>
      <c r="I54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0)"),0.5)</f>
        <v>0.5</v>
      </c>
      <c r="J54" s="54">
        <f>IFERROR(__xludf.DUMMYFUNCTION("IF(OR(D54="""", E54=""""),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E54 - D54)"),28.0)</f>
        <v>28</v>
      </c>
      <c r="K54" s="55">
        <f>IFERROR(__xludf.DUMMYFUNCTION("IF(ISNUMBER(F54), IF(ISNUMBER(G54), G54 - F54, TODAY() - F54),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""""))"),36.0)</f>
        <v>36</v>
      </c>
      <c r="M54" s="15" t="str">
        <f>IFERROR(__xludf.DUMMYFUNCTION("IF(AND(LEN(A54&amp;"""")-LEN(SUBSTITUTE(A54&amp;"""", ""."", """")) = 2, REGEXMATCH(A54&amp;"""", ""^(1\.|2\.|3\.|4\.1\.)"")), 1 / SUMPRODUCT(--(LEN($A$9:$A$200&amp;"""")-LEN(SUBSTITUTE($A$9:$A$200&amp;"""", ""."", """")) = 2), --REGEXMATCH($A$9:$A$200&amp;"""", ""^(1\.|2\.|3\.|"&amp;"4\.1\.)"")), """")"),"")</f>
        <v/>
      </c>
      <c r="N54" s="15" t="str">
        <f>IFERROR(__xludf.DUMMYFUNCTION("IF(AND(LEN(A54&amp;"""")-LEN(SUBSTITUTE(A54&amp;"""", ""."", """")) = 2, REGEXMATCH(A54&amp;"""", ""^(4\.2\.|4\.3\.)"")), 1 / SUMPRODUCT(--(LEN($A$9:$A$200&amp;"""")-LEN(SUBSTITUTE($A$9:$A$200&amp;"""", ""."", """")) = 2), --REGEXMATCH($A$9:$A$200&amp;"""", ""^(4\.2\.|4\.3\.)"")"&amp;"), """")"),"")</f>
        <v/>
      </c>
      <c r="O54" s="15" t="str">
        <f>IFERROR(__xludf.DUMMYFUNCTION("IF(AND(LEN(A54&amp;"""")-LEN(SUBSTITUTE(A54&amp;"""", ""."", """")) = 2, REGEXMATCH(A54&amp;"""", ""^4\.4\."")), 1 / SUMPRODUCT(--(LEN($A$9:$A$200&amp;"""")-LEN(SUBSTITUTE($A$9:$A$200&amp;"""", ""."", """")) = 2), --REGEXMATCH($A$9:$A$200&amp;"""", ""^4\.4\."")), """")"),"")</f>
        <v/>
      </c>
      <c r="P54" s="15" t="str">
        <f>IFERROR(__xludf.DUMMYFUNCTION("IF(AND(LEN(A54&amp;"""")-LEN(SUBSTITUTE(A54&amp;"""", ""."", """")) = 2, REGEXMATCH(A54&amp;"""", ""^4\.5\.[1-3]$"")), 1 / SUMPRODUCT(--(LEN($A$9:$A$200&amp;"""")-LEN(SUBSTITUTE($A$9:$A$200&amp;"""", ""."", """")) = 2), --REGEXMATCH($A$9:$A$200&amp;"""", ""^4\.5\.[1-3]$"")), """&amp;""")"),"")</f>
        <v/>
      </c>
      <c r="Q54" s="15" t="str">
        <f>IFERROR(__xludf.DUMMYFUNCTION("IF(AND(LEN(A54&amp;"""")-LEN(SUBSTITUTE(A54&amp;"""", ""."", """")) = 2, REGEXMATCH(A54&amp;"""", ""^(4\.5\.[4-9]$|4\.6\.|5\.)"")), 1 / SUMPRODUCT(--(LEN($A$9:$A$200&amp;"""")-LEN(SUBSTITUTE($A$9:$A$200&amp;"""", ""."", """")) = 2), --REGEXMATCH($A$9:$A$200&amp;"""", ""^(4\.5\.["&amp;"4-9]$|4\.6\.|5\.)"")), """")"),"")</f>
        <v/>
      </c>
      <c r="R54" s="12" t="str">
        <f t="shared" si="1"/>
        <v>octubre 2026</v>
      </c>
      <c r="S54" s="12" t="str">
        <f t="shared" si="2"/>
        <v/>
      </c>
      <c r="U54" s="12" t="s">
        <v>310</v>
      </c>
      <c r="V54" s="15">
        <v>0.3333333333333333</v>
      </c>
      <c r="W54" s="15">
        <f t="shared" ref="W54:W55" si="9">V54+W53</f>
        <v>0.3333333333</v>
      </c>
      <c r="Y54" s="12" t="s">
        <v>310</v>
      </c>
      <c r="Z54" s="15">
        <v>0.0</v>
      </c>
      <c r="AA54" s="15">
        <f t="shared" ref="AA54:AA55" si="10">Z54+AA53</f>
        <v>0</v>
      </c>
      <c r="AE54" s="15"/>
    </row>
    <row r="55">
      <c r="A55" s="46" t="s">
        <v>242</v>
      </c>
      <c r="B55" s="47" t="s">
        <v>243</v>
      </c>
      <c r="C55" s="46" t="s">
        <v>163</v>
      </c>
      <c r="D55" s="50">
        <v>46286.0</v>
      </c>
      <c r="E55" s="50">
        <v>46314.0</v>
      </c>
      <c r="F55" s="50">
        <v>46300.0</v>
      </c>
      <c r="G55" s="50"/>
      <c r="H55" s="110"/>
      <c r="I55" s="68">
        <v>0.0</v>
      </c>
      <c r="J55" s="54">
        <f>IFERROR(__xludf.DUMMYFUNCTION("IF(OR(D55="""", E55=""""),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E55 - D55)"),28.0)</f>
        <v>28</v>
      </c>
      <c r="K55" s="55">
        <f>IFERROR(__xludf.DUMMYFUNCTION("IF(ISNUMBER(F55), IF(ISNUMBER(G55), G55 - F55, TODAY() - F55),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""""))"),22.0)</f>
        <v>22</v>
      </c>
      <c r="M55" s="15" t="str">
        <f>IFERROR(__xludf.DUMMYFUNCTION("IF(AND(LEN(A55&amp;"""")-LEN(SUBSTITUTE(A55&amp;"""", ""."", """")) = 2, REGEXMATCH(A55&amp;"""", ""^(1\.|2\.|3\.|4\.1\.)"")), 1 / SUMPRODUCT(--(LEN($A$9:$A$200&amp;"""")-LEN(SUBSTITUTE($A$9:$A$200&amp;"""", ""."", """")) = 2), --REGEXMATCH($A$9:$A$200&amp;"""", ""^(1\.|2\.|3\.|"&amp;"4\.1\.)"")), """")"),"")</f>
        <v/>
      </c>
      <c r="N55" s="15" t="str">
        <f>IFERROR(__xludf.DUMMYFUNCTION("IF(AND(LEN(A55&amp;"""")-LEN(SUBSTITUTE(A55&amp;"""", ""."", """")) = 2, REGEXMATCH(A55&amp;"""", ""^(4\.2\.|4\.3\.)"")), 1 / SUMPRODUCT(--(LEN($A$9:$A$200&amp;"""")-LEN(SUBSTITUTE($A$9:$A$200&amp;"""", ""."", """")) = 2), --REGEXMATCH($A$9:$A$200&amp;"""", ""^(4\.2\.|4\.3\.)"")"&amp;"), """")"),"")</f>
        <v/>
      </c>
      <c r="O55" s="15">
        <f>IFERROR(__xludf.DUMMYFUNCTION("IF(AND(LEN(A55&amp;"""")-LEN(SUBSTITUTE(A55&amp;"""", ""."", """")) = 2, REGEXMATCH(A55&amp;"""", ""^4\.4\."")), 1 / SUMPRODUCT(--(LEN($A$9:$A$200&amp;"""")-LEN(SUBSTITUTE($A$9:$A$200&amp;"""", ""."", """")) = 2), --REGEXMATCH($A$9:$A$200&amp;"""", ""^4\.4\."")), """")"),0.16666666666666666)</f>
        <v>0.1666666667</v>
      </c>
      <c r="P55" s="15" t="str">
        <f>IFERROR(__xludf.DUMMYFUNCTION("IF(AND(LEN(A55&amp;"""")-LEN(SUBSTITUTE(A55&amp;"""", ""."", """")) = 2, REGEXMATCH(A55&amp;"""", ""^4\.5\.[1-3]$"")), 1 / SUMPRODUCT(--(LEN($A$9:$A$200&amp;"""")-LEN(SUBSTITUTE($A$9:$A$200&amp;"""", ""."", """")) = 2), --REGEXMATCH($A$9:$A$200&amp;"""", ""^4\.5\.[1-3]$"")), """&amp;""")"),"")</f>
        <v/>
      </c>
      <c r="Q55" s="15" t="str">
        <f>IFERROR(__xludf.DUMMYFUNCTION("IF(AND(LEN(A55&amp;"""")-LEN(SUBSTITUTE(A55&amp;"""", ""."", """")) = 2, REGEXMATCH(A55&amp;"""", ""^(4\.5\.[4-9]$|4\.6\.|5\.)"")), 1 / SUMPRODUCT(--(LEN($A$9:$A$200&amp;"""")-LEN(SUBSTITUTE($A$9:$A$200&amp;"""", ""."", """")) = 2), --REGEXMATCH($A$9:$A$200&amp;"""", ""^(4\.5\.["&amp;"4-9]$|4\.6\.|5\.)"")), """")"),"")</f>
        <v/>
      </c>
      <c r="R55" s="12" t="str">
        <f t="shared" si="1"/>
        <v>octubre 2026</v>
      </c>
      <c r="S55" s="12" t="str">
        <f t="shared" si="2"/>
        <v/>
      </c>
      <c r="U55" s="12" t="s">
        <v>319</v>
      </c>
      <c r="V55" s="15">
        <v>0.6666666666666666</v>
      </c>
      <c r="W55" s="15">
        <f t="shared" si="9"/>
        <v>1</v>
      </c>
      <c r="Y55" s="12" t="s">
        <v>319</v>
      </c>
      <c r="Z55" s="15">
        <v>0.0</v>
      </c>
      <c r="AA55" s="15">
        <f t="shared" si="10"/>
        <v>0</v>
      </c>
      <c r="AE55" s="15"/>
    </row>
    <row r="56">
      <c r="A56" s="46" t="s">
        <v>244</v>
      </c>
      <c r="B56" s="47" t="s">
        <v>245</v>
      </c>
      <c r="C56" s="46" t="s">
        <v>205</v>
      </c>
      <c r="D56" s="50">
        <v>46286.0</v>
      </c>
      <c r="E56" s="50">
        <v>46293.0</v>
      </c>
      <c r="F56" s="50">
        <v>46286.0</v>
      </c>
      <c r="G56" s="50">
        <v>46286.0</v>
      </c>
      <c r="H56" s="110"/>
      <c r="I56" s="68">
        <v>1.0</v>
      </c>
      <c r="J56" s="54">
        <f>IFERROR(__xludf.DUMMYFUNCTION("IF(OR(D56="""", E56=""""),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E56 - D56)"),7.0)</f>
        <v>7</v>
      </c>
      <c r="K56" s="55">
        <f>IFERROR(__xludf.DUMMYFUNCTION("IF(ISNUMBER(F56), IF(ISNUMBER(G56), G56 - F56, TODAY() - F56),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""""))"),0.0)</f>
        <v>0</v>
      </c>
      <c r="M56" s="15" t="str">
        <f>IFERROR(__xludf.DUMMYFUNCTION("IF(AND(LEN(A56&amp;"""")-LEN(SUBSTITUTE(A56&amp;"""", ""."", """")) = 2, REGEXMATCH(A56&amp;"""", ""^(1\.|2\.|3\.|4\.1\.)"")), 1 / SUMPRODUCT(--(LEN($A$9:$A$200&amp;"""")-LEN(SUBSTITUTE($A$9:$A$200&amp;"""", ""."", """")) = 2), --REGEXMATCH($A$9:$A$200&amp;"""", ""^(1\.|2\.|3\.|"&amp;"4\.1\.)"")), """")"),"")</f>
        <v/>
      </c>
      <c r="N56" s="15" t="str">
        <f>IFERROR(__xludf.DUMMYFUNCTION("IF(AND(LEN(A56&amp;"""")-LEN(SUBSTITUTE(A56&amp;"""", ""."", """")) = 2, REGEXMATCH(A56&amp;"""", ""^(4\.2\.|4\.3\.)"")), 1 / SUMPRODUCT(--(LEN($A$9:$A$200&amp;"""")-LEN(SUBSTITUTE($A$9:$A$200&amp;"""", ""."", """")) = 2), --REGEXMATCH($A$9:$A$200&amp;"""", ""^(4\.2\.|4\.3\.)"")"&amp;"), """")"),"")</f>
        <v/>
      </c>
      <c r="O56" s="15">
        <f>IFERROR(__xludf.DUMMYFUNCTION("IF(AND(LEN(A56&amp;"""")-LEN(SUBSTITUTE(A56&amp;"""", ""."", """")) = 2, REGEXMATCH(A56&amp;"""", ""^4\.4\."")), 1 / SUMPRODUCT(--(LEN($A$9:$A$200&amp;"""")-LEN(SUBSTITUTE($A$9:$A$200&amp;"""", ""."", """")) = 2), --REGEXMATCH($A$9:$A$200&amp;"""", ""^4\.4\."")), """")"),0.16666666666666666)</f>
        <v>0.1666666667</v>
      </c>
      <c r="P56" s="15" t="str">
        <f>IFERROR(__xludf.DUMMYFUNCTION("IF(AND(LEN(A56&amp;"""")-LEN(SUBSTITUTE(A56&amp;"""", ""."", """")) = 2, REGEXMATCH(A56&amp;"""", ""^4\.5\.[1-3]$"")), 1 / SUMPRODUCT(--(LEN($A$9:$A$200&amp;"""")-LEN(SUBSTITUTE($A$9:$A$200&amp;"""", ""."", """")) = 2), --REGEXMATCH($A$9:$A$200&amp;"""", ""^4\.5\.[1-3]$"")), """&amp;""")"),"")</f>
        <v/>
      </c>
      <c r="Q56" s="15" t="str">
        <f>IFERROR(__xludf.DUMMYFUNCTION("IF(AND(LEN(A56&amp;"""")-LEN(SUBSTITUTE(A56&amp;"""", ""."", """")) = 2, REGEXMATCH(A56&amp;"""", ""^(4\.5\.[4-9]$|4\.6\.|5\.)"")), 1 / SUMPRODUCT(--(LEN($A$9:$A$200&amp;"""")-LEN(SUBSTITUTE($A$9:$A$200&amp;"""", ""."", """")) = 2), --REGEXMATCH($A$9:$A$200&amp;"""", ""^(4\.5\.["&amp;"4-9]$|4\.6\.|5\.)"")), """")"),"")</f>
        <v/>
      </c>
      <c r="R56" s="12" t="str">
        <f t="shared" si="1"/>
        <v>septiembre 2026</v>
      </c>
      <c r="S56" s="12" t="str">
        <f t="shared" si="2"/>
        <v>septiembre 2026</v>
      </c>
      <c r="Z56" s="15"/>
    </row>
    <row r="57">
      <c r="A57" s="46" t="s">
        <v>246</v>
      </c>
      <c r="B57" s="47" t="s">
        <v>247</v>
      </c>
      <c r="C57" s="46" t="s">
        <v>205</v>
      </c>
      <c r="D57" s="50">
        <v>46293.0</v>
      </c>
      <c r="E57" s="50">
        <v>46304.0</v>
      </c>
      <c r="F57" s="50">
        <v>46300.0</v>
      </c>
      <c r="G57" s="50">
        <v>46301.0</v>
      </c>
      <c r="H57" s="110"/>
      <c r="I57" s="68">
        <v>1.0</v>
      </c>
      <c r="J57" s="54">
        <f>IFERROR(__xludf.DUMMYFUNCTION("IF(OR(D57="""", E57=""""),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E57 - D57)"),11.0)</f>
        <v>11</v>
      </c>
      <c r="K57" s="55">
        <f>IFERROR(__xludf.DUMMYFUNCTION("IF(ISNUMBER(F57), IF(ISNUMBER(G57), G57 - F57, TODAY() - F57),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""""))"),1.0)</f>
        <v>1</v>
      </c>
      <c r="M57" s="15" t="str">
        <f>IFERROR(__xludf.DUMMYFUNCTION("IF(AND(LEN(A57&amp;"""")-LEN(SUBSTITUTE(A57&amp;"""", ""."", """")) = 2, REGEXMATCH(A57&amp;"""", ""^(1\.|2\.|3\.|4\.1\.)"")), 1 / SUMPRODUCT(--(LEN($A$9:$A$200&amp;"""")-LEN(SUBSTITUTE($A$9:$A$200&amp;"""", ""."", """")) = 2), --REGEXMATCH($A$9:$A$200&amp;"""", ""^(1\.|2\.|3\.|"&amp;"4\.1\.)"")), """")"),"")</f>
        <v/>
      </c>
      <c r="N57" s="15" t="str">
        <f>IFERROR(__xludf.DUMMYFUNCTION("IF(AND(LEN(A57&amp;"""")-LEN(SUBSTITUTE(A57&amp;"""", ""."", """")) = 2, REGEXMATCH(A57&amp;"""", ""^(4\.2\.|4\.3\.)"")), 1 / SUMPRODUCT(--(LEN($A$9:$A$200&amp;"""")-LEN(SUBSTITUTE($A$9:$A$200&amp;"""", ""."", """")) = 2), --REGEXMATCH($A$9:$A$200&amp;"""", ""^(4\.2\.|4\.3\.)"")"&amp;"), """")"),"")</f>
        <v/>
      </c>
      <c r="O57" s="15">
        <f>IFERROR(__xludf.DUMMYFUNCTION("IF(AND(LEN(A57&amp;"""")-LEN(SUBSTITUTE(A57&amp;"""", ""."", """")) = 2, REGEXMATCH(A57&amp;"""", ""^4\.4\."")), 1 / SUMPRODUCT(--(LEN($A$9:$A$200&amp;"""")-LEN(SUBSTITUTE($A$9:$A$200&amp;"""", ""."", """")) = 2), --REGEXMATCH($A$9:$A$200&amp;"""", ""^4\.4\."")), """")"),0.16666666666666666)</f>
        <v>0.1666666667</v>
      </c>
      <c r="P57" s="15" t="str">
        <f>IFERROR(__xludf.DUMMYFUNCTION("IF(AND(LEN(A57&amp;"""")-LEN(SUBSTITUTE(A57&amp;"""", ""."", """")) = 2, REGEXMATCH(A57&amp;"""", ""^4\.5\.[1-3]$"")), 1 / SUMPRODUCT(--(LEN($A$9:$A$200&amp;"""")-LEN(SUBSTITUTE($A$9:$A$200&amp;"""", ""."", """")) = 2), --REGEXMATCH($A$9:$A$200&amp;"""", ""^4\.5\.[1-3]$"")), """&amp;""")"),"")</f>
        <v/>
      </c>
      <c r="Q57" s="15" t="str">
        <f>IFERROR(__xludf.DUMMYFUNCTION("IF(AND(LEN(A57&amp;"""")-LEN(SUBSTITUTE(A57&amp;"""", ""."", """")) = 2, REGEXMATCH(A57&amp;"""", ""^(4\.5\.[4-9]$|4\.6\.|5\.)"")), 1 / SUMPRODUCT(--(LEN($A$9:$A$200&amp;"""")-LEN(SUBSTITUTE($A$9:$A$200&amp;"""", ""."", """")) = 2), --REGEXMATCH($A$9:$A$200&amp;"""", ""^(4\.5\.["&amp;"4-9]$|4\.6\.|5\.)"")), """")"),"")</f>
        <v/>
      </c>
      <c r="R57" s="12" t="str">
        <f t="shared" si="1"/>
        <v>octubre 2026</v>
      </c>
      <c r="S57" s="12" t="str">
        <f t="shared" si="2"/>
        <v>octubre 2026</v>
      </c>
      <c r="Z57" s="15"/>
    </row>
    <row r="58">
      <c r="A58" s="46" t="s">
        <v>248</v>
      </c>
      <c r="B58" s="47" t="s">
        <v>249</v>
      </c>
      <c r="C58" s="46" t="s">
        <v>205</v>
      </c>
      <c r="D58" s="50">
        <v>46300.0</v>
      </c>
      <c r="E58" s="50">
        <v>46304.0</v>
      </c>
      <c r="F58" s="50">
        <v>46300.0</v>
      </c>
      <c r="G58" s="50">
        <v>46302.0</v>
      </c>
      <c r="H58" s="110"/>
      <c r="I58" s="68">
        <v>1.0</v>
      </c>
      <c r="J58" s="54">
        <f>IFERROR(__xludf.DUMMYFUNCTION("IF(OR(D58="""", E58=""""),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E58 - D58)"),4.0)</f>
        <v>4</v>
      </c>
      <c r="K58" s="55">
        <f>IFERROR(__xludf.DUMMYFUNCTION("IF(ISNUMBER(F58), IF(ISNUMBER(G58), G58 - F58, TODAY() - F58),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""""))"),2.0)</f>
        <v>2</v>
      </c>
      <c r="M58" s="15" t="str">
        <f>IFERROR(__xludf.DUMMYFUNCTION("IF(AND(LEN(A58&amp;"""")-LEN(SUBSTITUTE(A58&amp;"""", ""."", """")) = 2, REGEXMATCH(A58&amp;"""", ""^(1\.|2\.|3\.|4\.1\.)"")), 1 / SUMPRODUCT(--(LEN($A$9:$A$200&amp;"""")-LEN(SUBSTITUTE($A$9:$A$200&amp;"""", ""."", """")) = 2), --REGEXMATCH($A$9:$A$200&amp;"""", ""^(1\.|2\.|3\.|"&amp;"4\.1\.)"")), """")"),"")</f>
        <v/>
      </c>
      <c r="N58" s="15" t="str">
        <f>IFERROR(__xludf.DUMMYFUNCTION("IF(AND(LEN(A58&amp;"""")-LEN(SUBSTITUTE(A58&amp;"""", ""."", """")) = 2, REGEXMATCH(A58&amp;"""", ""^(4\.2\.|4\.3\.)"")), 1 / SUMPRODUCT(--(LEN($A$9:$A$200&amp;"""")-LEN(SUBSTITUTE($A$9:$A$200&amp;"""", ""."", """")) = 2), --REGEXMATCH($A$9:$A$200&amp;"""", ""^(4\.2\.|4\.3\.)"")"&amp;"), """")"),"")</f>
        <v/>
      </c>
      <c r="O58" s="15">
        <f>IFERROR(__xludf.DUMMYFUNCTION("IF(AND(LEN(A58&amp;"""")-LEN(SUBSTITUTE(A58&amp;"""", ""."", """")) = 2, REGEXMATCH(A58&amp;"""", ""^4\.4\."")), 1 / SUMPRODUCT(--(LEN($A$9:$A$200&amp;"""")-LEN(SUBSTITUTE($A$9:$A$200&amp;"""", ""."", """")) = 2), --REGEXMATCH($A$9:$A$200&amp;"""", ""^4\.4\."")), """")"),0.16666666666666666)</f>
        <v>0.1666666667</v>
      </c>
      <c r="P58" s="15" t="str">
        <f>IFERROR(__xludf.DUMMYFUNCTION("IF(AND(LEN(A58&amp;"""")-LEN(SUBSTITUTE(A58&amp;"""", ""."", """")) = 2, REGEXMATCH(A58&amp;"""", ""^4\.5\.[1-3]$"")), 1 / SUMPRODUCT(--(LEN($A$9:$A$200&amp;"""")-LEN(SUBSTITUTE($A$9:$A$200&amp;"""", ""."", """")) = 2), --REGEXMATCH($A$9:$A$200&amp;"""", ""^4\.5\.[1-3]$"")), """&amp;""")"),"")</f>
        <v/>
      </c>
      <c r="Q58" s="15" t="str">
        <f>IFERROR(__xludf.DUMMYFUNCTION("IF(AND(LEN(A58&amp;"""")-LEN(SUBSTITUTE(A58&amp;"""", ""."", """")) = 2, REGEXMATCH(A58&amp;"""", ""^(4\.5\.[4-9]$|4\.6\.|5\.)"")), 1 / SUMPRODUCT(--(LEN($A$9:$A$200&amp;"""")-LEN(SUBSTITUTE($A$9:$A$200&amp;"""", ""."", """")) = 2), --REGEXMATCH($A$9:$A$200&amp;"""", ""^(4\.5\.["&amp;"4-9]$|4\.6\.|5\.)"")), """")"),"")</f>
        <v/>
      </c>
      <c r="R58" s="12" t="str">
        <f t="shared" si="1"/>
        <v>octubre 2026</v>
      </c>
      <c r="S58" s="12" t="str">
        <f t="shared" si="2"/>
        <v>octubre 2026</v>
      </c>
    </row>
    <row r="59">
      <c r="A59" s="46" t="s">
        <v>250</v>
      </c>
      <c r="B59" s="47" t="s">
        <v>251</v>
      </c>
      <c r="C59" s="46" t="s">
        <v>205</v>
      </c>
      <c r="D59" s="50">
        <v>46307.0</v>
      </c>
      <c r="E59" s="50">
        <v>46304.0</v>
      </c>
      <c r="F59" s="50">
        <v>46304.0</v>
      </c>
      <c r="G59" s="50"/>
      <c r="H59" s="110"/>
      <c r="I59" s="68">
        <v>0.0</v>
      </c>
      <c r="J59" s="54"/>
      <c r="K59" s="55"/>
      <c r="M59" s="15" t="str">
        <f>IFERROR(__xludf.DUMMYFUNCTION("IF(AND(LEN(A59&amp;"""")-LEN(SUBSTITUTE(A59&amp;"""", ""."", """")) = 2, REGEXMATCH(A59&amp;"""", ""^(1\.|2\.|3\.|4\.1\.)"")), 1 / SUMPRODUCT(--(LEN($A$9:$A$200&amp;"""")-LEN(SUBSTITUTE($A$9:$A$200&amp;"""", ""."", """")) = 2), --REGEXMATCH($A$9:$A$200&amp;"""", ""^(1\.|2\.|3\.|"&amp;"4\.1\.)"")), """")"),"")</f>
        <v/>
      </c>
      <c r="N59" s="15" t="str">
        <f>IFERROR(__xludf.DUMMYFUNCTION("IF(AND(LEN(A59&amp;"""")-LEN(SUBSTITUTE(A59&amp;"""", ""."", """")) = 2, REGEXMATCH(A59&amp;"""", ""^(4\.2\.|4\.3\.)"")), 1 / SUMPRODUCT(--(LEN($A$9:$A$200&amp;"""")-LEN(SUBSTITUTE($A$9:$A$200&amp;"""", ""."", """")) = 2), --REGEXMATCH($A$9:$A$200&amp;"""", ""^(4\.2\.|4\.3\.)"")"&amp;"), """")"),"")</f>
        <v/>
      </c>
      <c r="O59" s="15">
        <f>IFERROR(__xludf.DUMMYFUNCTION("IF(AND(LEN(A59&amp;"""")-LEN(SUBSTITUTE(A59&amp;"""", ""."", """")) = 2, REGEXMATCH(A59&amp;"""", ""^4\.4\."")), 1 / SUMPRODUCT(--(LEN($A$9:$A$200&amp;"""")-LEN(SUBSTITUTE($A$9:$A$200&amp;"""", ""."", """")) = 2), --REGEXMATCH($A$9:$A$200&amp;"""", ""^4\.4\."")), """")"),0.16666666666666666)</f>
        <v>0.1666666667</v>
      </c>
      <c r="P59" s="15" t="str">
        <f>IFERROR(__xludf.DUMMYFUNCTION("IF(AND(LEN(A59&amp;"""")-LEN(SUBSTITUTE(A59&amp;"""", ""."", """")) = 2, REGEXMATCH(A59&amp;"""", ""^4\.5\.[1-3]$"")), 1 / SUMPRODUCT(--(LEN($A$9:$A$200&amp;"""")-LEN(SUBSTITUTE($A$9:$A$200&amp;"""", ""."", """")) = 2), --REGEXMATCH($A$9:$A$200&amp;"""", ""^4\.5\.[1-3]$"")), """&amp;""")"),"")</f>
        <v/>
      </c>
      <c r="Q59" s="15" t="str">
        <f>IFERROR(__xludf.DUMMYFUNCTION("IF(AND(LEN(A59&amp;"""")-LEN(SUBSTITUTE(A59&amp;"""", ""."", """")) = 2, REGEXMATCH(A59&amp;"""", ""^(4\.5\.[4-9]$|4\.6\.|5\.)"")), 1 / SUMPRODUCT(--(LEN($A$9:$A$200&amp;"""")-LEN(SUBSTITUTE($A$9:$A$200&amp;"""", ""."", """")) = 2), --REGEXMATCH($A$9:$A$200&amp;"""", ""^(4\.5\.["&amp;"4-9]$|4\.6\.|5\.)"")), """")"),"")</f>
        <v/>
      </c>
      <c r="R59" s="12" t="str">
        <f t="shared" si="1"/>
        <v>octubre 2026</v>
      </c>
      <c r="S59" s="12" t="str">
        <f t="shared" si="2"/>
        <v/>
      </c>
      <c r="AE59" s="15"/>
    </row>
    <row r="60">
      <c r="A60" s="46" t="s">
        <v>253</v>
      </c>
      <c r="B60" s="47" t="s">
        <v>330</v>
      </c>
      <c r="C60" s="46" t="s">
        <v>157</v>
      </c>
      <c r="D60" s="50">
        <v>46286.0</v>
      </c>
      <c r="E60" s="50">
        <v>46307.0</v>
      </c>
      <c r="F60" s="50"/>
      <c r="G60" s="50"/>
      <c r="H60" s="124"/>
      <c r="I60" s="68">
        <v>0.0</v>
      </c>
      <c r="J60" s="54">
        <f>IFERROR(__xludf.DUMMYFUNCTION("IF(OR(D60="""", E60=""""),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E60 - D60)"),21.0)</f>
        <v>21</v>
      </c>
      <c r="K60" s="55" t="str">
        <f>IFERROR(__xludf.DUMMYFUNCTION("IF(ISNUMBER(F60), IF(ISNUMBER(G60), G60 - F60, TODAY() - F60),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60" s="15" t="str">
        <f>IFERROR(__xludf.DUMMYFUNCTION("IF(AND(LEN(A60&amp;"""")-LEN(SUBSTITUTE(A60&amp;"""", ""."", """")) = 2, REGEXMATCH(A60&amp;"""", ""^(1\.|2\.|3\.|4\.1\.)"")), 1 / SUMPRODUCT(--(LEN($A$9:$A$200&amp;"""")-LEN(SUBSTITUTE($A$9:$A$200&amp;"""", ""."", """")) = 2), --REGEXMATCH($A$9:$A$200&amp;"""", ""^(1\.|2\.|3\.|"&amp;"4\.1\.)"")), """")"),"")</f>
        <v/>
      </c>
      <c r="N60" s="15" t="str">
        <f>IFERROR(__xludf.DUMMYFUNCTION("IF(AND(LEN(A60&amp;"""")-LEN(SUBSTITUTE(A60&amp;"""", ""."", """")) = 2, REGEXMATCH(A60&amp;"""", ""^(4\.2\.|4\.3\.)"")), 1 / SUMPRODUCT(--(LEN($A$9:$A$200&amp;"""")-LEN(SUBSTITUTE($A$9:$A$200&amp;"""", ""."", """")) = 2), --REGEXMATCH($A$9:$A$200&amp;"""", ""^(4\.2\.|4\.3\.)"")"&amp;"), """")"),"")</f>
        <v/>
      </c>
      <c r="O60" s="15">
        <f>IFERROR(__xludf.DUMMYFUNCTION("IF(AND(LEN(A60&amp;"""")-LEN(SUBSTITUTE(A60&amp;"""", ""."", """")) = 2, REGEXMATCH(A60&amp;"""", ""^4\.4\."")), 1 / SUMPRODUCT(--(LEN($A$9:$A$200&amp;"""")-LEN(SUBSTITUTE($A$9:$A$200&amp;"""", ""."", """")) = 2), --REGEXMATCH($A$9:$A$200&amp;"""", ""^4\.4\."")), """")"),0.16666666666666666)</f>
        <v>0.1666666667</v>
      </c>
      <c r="P60" s="15" t="str">
        <f>IFERROR(__xludf.DUMMYFUNCTION("IF(AND(LEN(A60&amp;"""")-LEN(SUBSTITUTE(A60&amp;"""", ""."", """")) = 2, REGEXMATCH(A60&amp;"""", ""^4\.5\.[1-3]$"")), 1 / SUMPRODUCT(--(LEN($A$9:$A$200&amp;"""")-LEN(SUBSTITUTE($A$9:$A$200&amp;"""", ""."", """")) = 2), --REGEXMATCH($A$9:$A$200&amp;"""", ""^4\.5\.[1-3]$"")), """&amp;""")"),"")</f>
        <v/>
      </c>
      <c r="Q60" s="15" t="str">
        <f>IFERROR(__xludf.DUMMYFUNCTION("IF(AND(LEN(A60&amp;"""")-LEN(SUBSTITUTE(A60&amp;"""", ""."", """")) = 2, REGEXMATCH(A60&amp;"""", ""^(4\.5\.[4-9]$|4\.6\.|5\.)"")), 1 / SUMPRODUCT(--(LEN($A$9:$A$200&amp;"""")-LEN(SUBSTITUTE($A$9:$A$200&amp;"""", ""."", """")) = 2), --REGEXMATCH($A$9:$A$200&amp;"""", ""^(4\.5\.["&amp;"4-9]$|4\.6\.|5\.)"")), """")"),"")</f>
        <v/>
      </c>
      <c r="R60" s="12" t="str">
        <f t="shared" si="1"/>
        <v>octubre 2026</v>
      </c>
      <c r="S60" s="12" t="str">
        <f t="shared" si="2"/>
        <v/>
      </c>
      <c r="AE60" s="15"/>
    </row>
    <row r="61">
      <c r="A61" s="46">
        <v>4.5</v>
      </c>
      <c r="B61" s="47" t="s">
        <v>255</v>
      </c>
      <c r="C61" s="46" t="s">
        <v>157</v>
      </c>
      <c r="D61" s="50">
        <v>46357.0</v>
      </c>
      <c r="E61" s="50">
        <v>46434.0</v>
      </c>
      <c r="F61" s="50">
        <v>46300.0</v>
      </c>
      <c r="G61" s="50"/>
      <c r="H61" s="124"/>
      <c r="I61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0)"),0.0)</f>
        <v>0</v>
      </c>
      <c r="J61" s="54">
        <f>IFERROR(__xludf.DUMMYFUNCTION("IF(OR(D61="""", E61=""""),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E61 - D61)"),77.0)</f>
        <v>77</v>
      </c>
      <c r="K61" s="55">
        <f>IFERROR(__xludf.DUMMYFUNCTION("IF(ISNUMBER(F61), IF(ISNUMBER(G61), G61 - F61, TODAY() - F61),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""""))"),22.0)</f>
        <v>22</v>
      </c>
      <c r="M61" s="15" t="str">
        <f>IFERROR(__xludf.DUMMYFUNCTION("IF(AND(LEN(A61&amp;"""")-LEN(SUBSTITUTE(A61&amp;"""", ""."", """")) = 2, REGEXMATCH(A61&amp;"""", ""^(1\.|2\.|3\.|4\.1\.)"")), 1 / SUMPRODUCT(--(LEN($A$9:$A$200&amp;"""")-LEN(SUBSTITUTE($A$9:$A$200&amp;"""", ""."", """")) = 2), --REGEXMATCH($A$9:$A$200&amp;"""", ""^(1\.|2\.|3\.|"&amp;"4\.1\.)"")), """")"),"")</f>
        <v/>
      </c>
      <c r="N61" s="15" t="str">
        <f>IFERROR(__xludf.DUMMYFUNCTION("IF(AND(LEN(A61&amp;"""")-LEN(SUBSTITUTE(A61&amp;"""", ""."", """")) = 2, REGEXMATCH(A61&amp;"""", ""^(4\.2\.|4\.3\.)"")), 1 / SUMPRODUCT(--(LEN($A$9:$A$200&amp;"""")-LEN(SUBSTITUTE($A$9:$A$200&amp;"""", ""."", """")) = 2), --REGEXMATCH($A$9:$A$200&amp;"""", ""^(4\.2\.|4\.3\.)"")"&amp;"), """")"),"")</f>
        <v/>
      </c>
      <c r="O61" s="15" t="str">
        <f>IFERROR(__xludf.DUMMYFUNCTION("IF(AND(LEN(A61&amp;"""")-LEN(SUBSTITUTE(A61&amp;"""", ""."", """")) = 2, REGEXMATCH(A61&amp;"""", ""^4\.4\."")), 1 / SUMPRODUCT(--(LEN($A$9:$A$200&amp;"""")-LEN(SUBSTITUTE($A$9:$A$200&amp;"""", ""."", """")) = 2), --REGEXMATCH($A$9:$A$200&amp;"""", ""^4\.4\."")), """")"),"")</f>
        <v/>
      </c>
      <c r="P61" s="15" t="str">
        <f>IFERROR(__xludf.DUMMYFUNCTION("IF(AND(LEN(A61&amp;"""")-LEN(SUBSTITUTE(A61&amp;"""", ""."", """")) = 2, REGEXMATCH(A61&amp;"""", ""^4\.5\.[1-3]$"")), 1 / SUMPRODUCT(--(LEN($A$9:$A$200&amp;"""")-LEN(SUBSTITUTE($A$9:$A$200&amp;"""", ""."", """")) = 2), --REGEXMATCH($A$9:$A$200&amp;"""", ""^4\.5\.[1-3]$"")), """&amp;""")"),"")</f>
        <v/>
      </c>
      <c r="Q61" s="15" t="str">
        <f>IFERROR(__xludf.DUMMYFUNCTION("IF(AND(LEN(A61&amp;"""")-LEN(SUBSTITUTE(A61&amp;"""", ""."", """")) = 2, REGEXMATCH(A61&amp;"""", ""^(4\.5\.[4-9]$|4\.6\.|5\.)"")), 1 / SUMPRODUCT(--(LEN($A$9:$A$200&amp;"""")-LEN(SUBSTITUTE($A$9:$A$200&amp;"""", ""."", """")) = 2), --REGEXMATCH($A$9:$A$200&amp;"""", ""^(4\.5\.["&amp;"4-9]$|4\.6\.|5\.)"")), """")"),"")</f>
        <v/>
      </c>
      <c r="R61" s="12" t="str">
        <f t="shared" si="1"/>
        <v>febrero 2027</v>
      </c>
      <c r="S61" s="12" t="str">
        <f t="shared" si="2"/>
        <v/>
      </c>
    </row>
    <row r="62">
      <c r="A62" s="46" t="s">
        <v>257</v>
      </c>
      <c r="B62" s="47" t="s">
        <v>337</v>
      </c>
      <c r="C62" s="46" t="s">
        <v>157</v>
      </c>
      <c r="D62" s="50">
        <v>46357.0</v>
      </c>
      <c r="E62" s="50">
        <v>46378.0</v>
      </c>
      <c r="F62" s="50"/>
      <c r="G62" s="50"/>
      <c r="H62" s="124"/>
      <c r="I62" s="68">
        <v>0.0</v>
      </c>
      <c r="J62" s="54">
        <f>IFERROR(__xludf.DUMMYFUNCTION("IF(OR(D62="""", E62=""""),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E62 - D62)"),21.0)</f>
        <v>21</v>
      </c>
      <c r="K62" s="55" t="str">
        <f>IFERROR(__xludf.DUMMYFUNCTION("IF(ISNUMBER(F62), IF(ISNUMBER(G62), G62 - F62, TODAY() - F62),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62" s="15" t="str">
        <f>IFERROR(__xludf.DUMMYFUNCTION("IF(AND(LEN(A62&amp;"""")-LEN(SUBSTITUTE(A62&amp;"""", ""."", """")) = 2, REGEXMATCH(A62&amp;"""", ""^(1\.|2\.|3\.|4\.1\.)"")), 1 / SUMPRODUCT(--(LEN($A$9:$A$200&amp;"""")-LEN(SUBSTITUTE($A$9:$A$200&amp;"""", ""."", """")) = 2), --REGEXMATCH($A$9:$A$200&amp;"""", ""^(1\.|2\.|3\.|"&amp;"4\.1\.)"")), """")"),"")</f>
        <v/>
      </c>
      <c r="N62" s="15" t="str">
        <f>IFERROR(__xludf.DUMMYFUNCTION("IF(AND(LEN(A62&amp;"""")-LEN(SUBSTITUTE(A62&amp;"""", ""."", """")) = 2, REGEXMATCH(A62&amp;"""", ""^(4\.2\.|4\.3\.)"")), 1 / SUMPRODUCT(--(LEN($A$9:$A$200&amp;"""")-LEN(SUBSTITUTE($A$9:$A$200&amp;"""", ""."", """")) = 2), --REGEXMATCH($A$9:$A$200&amp;"""", ""^(4\.2\.|4\.3\.)"")"&amp;"), """")"),"")</f>
        <v/>
      </c>
      <c r="O62" s="15" t="str">
        <f>IFERROR(__xludf.DUMMYFUNCTION("IF(AND(LEN(A62&amp;"""")-LEN(SUBSTITUTE(A62&amp;"""", ""."", """")) = 2, REGEXMATCH(A62&amp;"""", ""^4\.4\."")), 1 / SUMPRODUCT(--(LEN($A$9:$A$200&amp;"""")-LEN(SUBSTITUTE($A$9:$A$200&amp;"""", ""."", """")) = 2), --REGEXMATCH($A$9:$A$200&amp;"""", ""^4\.4\."")), """")"),"")</f>
        <v/>
      </c>
      <c r="P62" s="15">
        <f>IFERROR(__xludf.DUMMYFUNCTION("IF(AND(LEN(A62&amp;"""")-LEN(SUBSTITUTE(A62&amp;"""", ""."", """")) = 2, REGEXMATCH(A62&amp;"""", ""^4\.5\.[1-3]$"")), 1 / SUMPRODUCT(--(LEN($A$9:$A$200&amp;"""")-LEN(SUBSTITUTE($A$9:$A$200&amp;"""", ""."", """")) = 2), --REGEXMATCH($A$9:$A$200&amp;"""", ""^4\.5\.[1-3]$"")), """&amp;""")"),0.3333333333333333)</f>
        <v>0.3333333333</v>
      </c>
      <c r="Q62" s="15" t="str">
        <f>IFERROR(__xludf.DUMMYFUNCTION("IF(AND(LEN(A62&amp;"""")-LEN(SUBSTITUTE(A62&amp;"""", ""."", """")) = 2, REGEXMATCH(A62&amp;"""", ""^(4\.5\.[4-9]$|4\.6\.|5\.)"")), 1 / SUMPRODUCT(--(LEN($A$9:$A$200&amp;"""")-LEN(SUBSTITUTE($A$9:$A$200&amp;"""", ""."", """")) = 2), --REGEXMATCH($A$9:$A$200&amp;"""", ""^(4\.5\.["&amp;"4-9]$|4\.6\.|5\.)"")), """")"),"")</f>
        <v/>
      </c>
      <c r="R62" s="12" t="str">
        <f t="shared" si="1"/>
        <v>diciembre 2026</v>
      </c>
      <c r="S62" s="12" t="str">
        <f t="shared" si="2"/>
        <v/>
      </c>
    </row>
    <row r="63">
      <c r="A63" s="46" t="s">
        <v>259</v>
      </c>
      <c r="B63" s="47" t="s">
        <v>260</v>
      </c>
      <c r="C63" s="46" t="s">
        <v>205</v>
      </c>
      <c r="D63" s="50">
        <v>46378.0</v>
      </c>
      <c r="E63" s="50">
        <v>46399.0</v>
      </c>
      <c r="F63" s="50"/>
      <c r="G63" s="50"/>
      <c r="H63" s="124"/>
      <c r="I63" s="68">
        <v>0.0</v>
      </c>
      <c r="J63" s="54">
        <f>IFERROR(__xludf.DUMMYFUNCTION("IF(OR(D63="""", E63=""""),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E63 - D63)"),21.0)</f>
        <v>21</v>
      </c>
      <c r="K63" s="55" t="str">
        <f>IFERROR(__xludf.DUMMYFUNCTION("IF(ISNUMBER(F63), IF(ISNUMBER(G63), G63 - F63, TODAY() - F63),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63" s="15" t="str">
        <f>IFERROR(__xludf.DUMMYFUNCTION("IF(AND(LEN(A63&amp;"""")-LEN(SUBSTITUTE(A63&amp;"""", ""."", """")) = 2, REGEXMATCH(A63&amp;"""", ""^(1\.|2\.|3\.|4\.1\.)"")), 1 / SUMPRODUCT(--(LEN($A$9:$A$200&amp;"""")-LEN(SUBSTITUTE($A$9:$A$200&amp;"""", ""."", """")) = 2), --REGEXMATCH($A$9:$A$200&amp;"""", ""^(1\.|2\.|3\.|"&amp;"4\.1\.)"")), """")"),"")</f>
        <v/>
      </c>
      <c r="N63" s="15" t="str">
        <f>IFERROR(__xludf.DUMMYFUNCTION("IF(AND(LEN(A63&amp;"""")-LEN(SUBSTITUTE(A63&amp;"""", ""."", """")) = 2, REGEXMATCH(A63&amp;"""", ""^(4\.2\.|4\.3\.)"")), 1 / SUMPRODUCT(--(LEN($A$9:$A$200&amp;"""")-LEN(SUBSTITUTE($A$9:$A$200&amp;"""", ""."", """")) = 2), --REGEXMATCH($A$9:$A$200&amp;"""", ""^(4\.2\.|4\.3\.)"")"&amp;"), """")"),"")</f>
        <v/>
      </c>
      <c r="O63" s="15" t="str">
        <f>IFERROR(__xludf.DUMMYFUNCTION("IF(AND(LEN(A63&amp;"""")-LEN(SUBSTITUTE(A63&amp;"""", ""."", """")) = 2, REGEXMATCH(A63&amp;"""", ""^4\.4\."")), 1 / SUMPRODUCT(--(LEN($A$9:$A$200&amp;"""")-LEN(SUBSTITUTE($A$9:$A$200&amp;"""", ""."", """")) = 2), --REGEXMATCH($A$9:$A$200&amp;"""", ""^4\.4\."")), """")"),"")</f>
        <v/>
      </c>
      <c r="P63" s="15">
        <f>IFERROR(__xludf.DUMMYFUNCTION("IF(AND(LEN(A63&amp;"""")-LEN(SUBSTITUTE(A63&amp;"""", ""."", """")) = 2, REGEXMATCH(A63&amp;"""", ""^4\.5\.[1-3]$"")), 1 / SUMPRODUCT(--(LEN($A$9:$A$200&amp;"""")-LEN(SUBSTITUTE($A$9:$A$200&amp;"""", ""."", """")) = 2), --REGEXMATCH($A$9:$A$200&amp;"""", ""^4\.5\.[1-3]$"")), """&amp;""")"),0.3333333333333333)</f>
        <v>0.3333333333</v>
      </c>
      <c r="Q63" s="15" t="str">
        <f>IFERROR(__xludf.DUMMYFUNCTION("IF(AND(LEN(A63&amp;"""")-LEN(SUBSTITUTE(A63&amp;"""", ""."", """")) = 2, REGEXMATCH(A63&amp;"""", ""^(4\.5\.[4-9]$|4\.6\.|5\.)"")), 1 / SUMPRODUCT(--(LEN($A$9:$A$200&amp;"""")-LEN(SUBSTITUTE($A$9:$A$200&amp;"""", ""."", """")) = 2), --REGEXMATCH($A$9:$A$200&amp;"""", ""^(4\.5\.["&amp;"4-9]$|4\.6\.|5\.)"")), """")"),"")</f>
        <v/>
      </c>
      <c r="R63" s="12" t="str">
        <f t="shared" si="1"/>
        <v>enero 2027</v>
      </c>
      <c r="S63" s="12" t="str">
        <f t="shared" si="2"/>
        <v/>
      </c>
    </row>
    <row r="64">
      <c r="A64" s="46" t="s">
        <v>261</v>
      </c>
      <c r="B64" s="47" t="s">
        <v>262</v>
      </c>
      <c r="C64" s="46" t="s">
        <v>157</v>
      </c>
      <c r="D64" s="50">
        <v>46399.0</v>
      </c>
      <c r="E64" s="50">
        <v>46413.0</v>
      </c>
      <c r="F64" s="50"/>
      <c r="G64" s="50"/>
      <c r="H64" s="124"/>
      <c r="I64" s="68">
        <v>0.0</v>
      </c>
      <c r="J64" s="54">
        <f>IFERROR(__xludf.DUMMYFUNCTION("IF(OR(D64="""", E64=""""),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E64 - D64)"),14.0)</f>
        <v>14</v>
      </c>
      <c r="K64" s="55" t="str">
        <f>IFERROR(__xludf.DUMMYFUNCTION("IF(ISNUMBER(F64), IF(ISNUMBER(G64), G64 - F64, TODAY() - F64),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64" s="15" t="str">
        <f>IFERROR(__xludf.DUMMYFUNCTION("IF(AND(LEN(A64&amp;"""")-LEN(SUBSTITUTE(A64&amp;"""", ""."", """")) = 2, REGEXMATCH(A64&amp;"""", ""^(1\.|2\.|3\.|4\.1\.)"")), 1 / SUMPRODUCT(--(LEN($A$9:$A$200&amp;"""")-LEN(SUBSTITUTE($A$9:$A$200&amp;"""", ""."", """")) = 2), --REGEXMATCH($A$9:$A$200&amp;"""", ""^(1\.|2\.|3\.|"&amp;"4\.1\.)"")), """")"),"")</f>
        <v/>
      </c>
      <c r="N64" s="15" t="str">
        <f>IFERROR(__xludf.DUMMYFUNCTION("IF(AND(LEN(A64&amp;"""")-LEN(SUBSTITUTE(A64&amp;"""", ""."", """")) = 2, REGEXMATCH(A64&amp;"""", ""^(4\.2\.|4\.3\.)"")), 1 / SUMPRODUCT(--(LEN($A$9:$A$200&amp;"""")-LEN(SUBSTITUTE($A$9:$A$200&amp;"""", ""."", """")) = 2), --REGEXMATCH($A$9:$A$200&amp;"""", ""^(4\.2\.|4\.3\.)"")"&amp;"), """")"),"")</f>
        <v/>
      </c>
      <c r="O64" s="15" t="str">
        <f>IFERROR(__xludf.DUMMYFUNCTION("IF(AND(LEN(A64&amp;"""")-LEN(SUBSTITUTE(A64&amp;"""", ""."", """")) = 2, REGEXMATCH(A64&amp;"""", ""^4\.4\."")), 1 / SUMPRODUCT(--(LEN($A$9:$A$200&amp;"""")-LEN(SUBSTITUTE($A$9:$A$200&amp;"""", ""."", """")) = 2), --REGEXMATCH($A$9:$A$200&amp;"""", ""^4\.4\."")), """")"),"")</f>
        <v/>
      </c>
      <c r="P64" s="15">
        <f>IFERROR(__xludf.DUMMYFUNCTION("IF(AND(LEN(A64&amp;"""")-LEN(SUBSTITUTE(A64&amp;"""", ""."", """")) = 2, REGEXMATCH(A64&amp;"""", ""^4\.5\.[1-3]$"")), 1 / SUMPRODUCT(--(LEN($A$9:$A$200&amp;"""")-LEN(SUBSTITUTE($A$9:$A$200&amp;"""", ""."", """")) = 2), --REGEXMATCH($A$9:$A$200&amp;"""", ""^4\.5\.[1-3]$"")), """&amp;""")"),0.3333333333333333)</f>
        <v>0.3333333333</v>
      </c>
      <c r="Q64" s="15" t="str">
        <f>IFERROR(__xludf.DUMMYFUNCTION("IF(AND(LEN(A64&amp;"""")-LEN(SUBSTITUTE(A64&amp;"""", ""."", """")) = 2, REGEXMATCH(A64&amp;"""", ""^(4\.5\.[4-9]$|4\.6\.|5\.)"")), 1 / SUMPRODUCT(--(LEN($A$9:$A$200&amp;"""")-LEN(SUBSTITUTE($A$9:$A$200&amp;"""", ""."", """")) = 2), --REGEXMATCH($A$9:$A$200&amp;"""", ""^(4\.5\.["&amp;"4-9]$|4\.6\.|5\.)"")), """")"),"")</f>
        <v/>
      </c>
      <c r="R64" s="12" t="str">
        <f t="shared" si="1"/>
        <v>enero 2027</v>
      </c>
      <c r="S64" s="12" t="str">
        <f t="shared" si="2"/>
        <v/>
      </c>
    </row>
    <row r="65">
      <c r="A65" s="46" t="s">
        <v>264</v>
      </c>
      <c r="B65" s="47" t="s">
        <v>265</v>
      </c>
      <c r="C65" s="46" t="s">
        <v>205</v>
      </c>
      <c r="D65" s="50">
        <v>46413.0</v>
      </c>
      <c r="E65" s="50">
        <v>46422.0</v>
      </c>
      <c r="F65" s="50"/>
      <c r="G65" s="50"/>
      <c r="H65" s="124"/>
      <c r="I65" s="68">
        <v>0.0</v>
      </c>
      <c r="J65" s="54">
        <f>IFERROR(__xludf.DUMMYFUNCTION("IF(OR(D65="""", E65=""""),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E65 - D65)"),9.0)</f>
        <v>9</v>
      </c>
      <c r="K65" s="55" t="str">
        <f>IFERROR(__xludf.DUMMYFUNCTION("IF(ISNUMBER(F65), IF(ISNUMBER(G65), G65 - F65, TODAY() - F65),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65" s="15" t="str">
        <f>IFERROR(__xludf.DUMMYFUNCTION("IF(AND(LEN(A65&amp;"""")-LEN(SUBSTITUTE(A65&amp;"""", ""."", """")) = 2, REGEXMATCH(A65&amp;"""", ""^(1\.|2\.|3\.|4\.1\.)"")), 1 / SUMPRODUCT(--(LEN($A$9:$A$200&amp;"""")-LEN(SUBSTITUTE($A$9:$A$200&amp;"""", ""."", """")) = 2), --REGEXMATCH($A$9:$A$200&amp;"""", ""^(1\.|2\.|3\.|"&amp;"4\.1\.)"")), """")"),"")</f>
        <v/>
      </c>
      <c r="N65" s="15" t="str">
        <f>IFERROR(__xludf.DUMMYFUNCTION("IF(AND(LEN(A65&amp;"""")-LEN(SUBSTITUTE(A65&amp;"""", ""."", """")) = 2, REGEXMATCH(A65&amp;"""", ""^(4\.2\.|4\.3\.)"")), 1 / SUMPRODUCT(--(LEN($A$9:$A$200&amp;"""")-LEN(SUBSTITUTE($A$9:$A$200&amp;"""", ""."", """")) = 2), --REGEXMATCH($A$9:$A$200&amp;"""", ""^(4\.2\.|4\.3\.)"")"&amp;"), """")"),"")</f>
        <v/>
      </c>
      <c r="O65" s="15" t="str">
        <f>IFERROR(__xludf.DUMMYFUNCTION("IF(AND(LEN(A65&amp;"""")-LEN(SUBSTITUTE(A65&amp;"""", ""."", """")) = 2, REGEXMATCH(A65&amp;"""", ""^4\.4\."")), 1 / SUMPRODUCT(--(LEN($A$9:$A$200&amp;"""")-LEN(SUBSTITUTE($A$9:$A$200&amp;"""", ""."", """")) = 2), --REGEXMATCH($A$9:$A$200&amp;"""", ""^4\.4\."")), """")"),"")</f>
        <v/>
      </c>
      <c r="P65" s="15" t="str">
        <f>IFERROR(__xludf.DUMMYFUNCTION("IF(AND(LEN(A65&amp;"""")-LEN(SUBSTITUTE(A65&amp;"""", ""."", """")) = 2, REGEXMATCH(A65&amp;"""", ""^4\.5\.[1-3]$"")), 1 / SUMPRODUCT(--(LEN($A$9:$A$200&amp;"""")-LEN(SUBSTITUTE($A$9:$A$200&amp;"""", ""."", """")) = 2), --REGEXMATCH($A$9:$A$200&amp;"""", ""^4\.5\.[1-3]$"")), """&amp;""")"),"")</f>
        <v/>
      </c>
      <c r="Q65" s="15">
        <f>IFERROR(__xludf.DUMMYFUNCTION("IF(AND(LEN(A65&amp;"""")-LEN(SUBSTITUTE(A65&amp;"""", ""."", """")) = 2, REGEXMATCH(A65&amp;"""", ""^(4\.5\.[4-9]$|4\.6\.|5\.)"")), 1 / SUMPRODUCT(--(LEN($A$9:$A$200&amp;"""")-LEN(SUBSTITUTE($A$9:$A$200&amp;"""", ""."", """")) = 2), --REGEXMATCH($A$9:$A$200&amp;"""", ""^(4\.5\.["&amp;"4-9]$|4\.6\.|5\.)"")), """")"),0.05263157894736842)</f>
        <v>0.05263157895</v>
      </c>
      <c r="R65" s="12" t="str">
        <f t="shared" si="1"/>
        <v>febrero 2027</v>
      </c>
      <c r="S65" s="12" t="str">
        <f t="shared" si="2"/>
        <v/>
      </c>
    </row>
    <row r="66">
      <c r="A66" s="46" t="s">
        <v>266</v>
      </c>
      <c r="B66" s="47" t="s">
        <v>267</v>
      </c>
      <c r="C66" s="46" t="s">
        <v>205</v>
      </c>
      <c r="D66" s="50">
        <v>46422.0</v>
      </c>
      <c r="E66" s="50">
        <v>46429.0</v>
      </c>
      <c r="F66" s="50"/>
      <c r="G66" s="50"/>
      <c r="H66" s="124"/>
      <c r="I66" s="68">
        <v>0.0</v>
      </c>
      <c r="J66" s="54">
        <f>IFERROR(__xludf.DUMMYFUNCTION("IF(OR(D66="""", E66=""""),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E66 - D66)"),7.0)</f>
        <v>7</v>
      </c>
      <c r="K66" s="55" t="str">
        <f>IFERROR(__xludf.DUMMYFUNCTION("IF(ISNUMBER(F66), IF(ISNUMBER(G66), G66 - F66, TODAY() - F66),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66" s="15" t="str">
        <f>IFERROR(__xludf.DUMMYFUNCTION("IF(AND(LEN(A66&amp;"""")-LEN(SUBSTITUTE(A66&amp;"""", ""."", """")) = 2, REGEXMATCH(A66&amp;"""", ""^(1\.|2\.|3\.|4\.1\.)"")), 1 / SUMPRODUCT(--(LEN($A$9:$A$200&amp;"""")-LEN(SUBSTITUTE($A$9:$A$200&amp;"""", ""."", """")) = 2), --REGEXMATCH($A$9:$A$200&amp;"""", ""^(1\.|2\.|3\.|"&amp;"4\.1\.)"")), """")"),"")</f>
        <v/>
      </c>
      <c r="N66" s="15" t="str">
        <f>IFERROR(__xludf.DUMMYFUNCTION("IF(AND(LEN(A66&amp;"""")-LEN(SUBSTITUTE(A66&amp;"""", ""."", """")) = 2, REGEXMATCH(A66&amp;"""", ""^(4\.2\.|4\.3\.)"")), 1 / SUMPRODUCT(--(LEN($A$9:$A$200&amp;"""")-LEN(SUBSTITUTE($A$9:$A$200&amp;"""", ""."", """")) = 2), --REGEXMATCH($A$9:$A$200&amp;"""", ""^(4\.2\.|4\.3\.)"")"&amp;"), """")"),"")</f>
        <v/>
      </c>
      <c r="O66" s="15" t="str">
        <f>IFERROR(__xludf.DUMMYFUNCTION("IF(AND(LEN(A66&amp;"""")-LEN(SUBSTITUTE(A66&amp;"""", ""."", """")) = 2, REGEXMATCH(A66&amp;"""", ""^4\.4\."")), 1 / SUMPRODUCT(--(LEN($A$9:$A$200&amp;"""")-LEN(SUBSTITUTE($A$9:$A$200&amp;"""", ""."", """")) = 2), --REGEXMATCH($A$9:$A$200&amp;"""", ""^4\.4\."")), """")"),"")</f>
        <v/>
      </c>
      <c r="P66" s="15" t="str">
        <f>IFERROR(__xludf.DUMMYFUNCTION("IF(AND(LEN(A66&amp;"""")-LEN(SUBSTITUTE(A66&amp;"""", ""."", """")) = 2, REGEXMATCH(A66&amp;"""", ""^4\.5\.[1-3]$"")), 1 / SUMPRODUCT(--(LEN($A$9:$A$200&amp;"""")-LEN(SUBSTITUTE($A$9:$A$200&amp;"""", ""."", """")) = 2), --REGEXMATCH($A$9:$A$200&amp;"""", ""^4\.5\.[1-3]$"")), """&amp;""")"),"")</f>
        <v/>
      </c>
      <c r="Q66" s="15">
        <f>IFERROR(__xludf.DUMMYFUNCTION("IF(AND(LEN(A66&amp;"""")-LEN(SUBSTITUTE(A66&amp;"""", ""."", """")) = 2, REGEXMATCH(A66&amp;"""", ""^(4\.5\.[4-9]$|4\.6\.|5\.)"")), 1 / SUMPRODUCT(--(LEN($A$9:$A$200&amp;"""")-LEN(SUBSTITUTE($A$9:$A$200&amp;"""", ""."", """")) = 2), --REGEXMATCH($A$9:$A$200&amp;"""", ""^(4\.5\.["&amp;"4-9]$|4\.6\.|5\.)"")), """")"),0.05263157894736842)</f>
        <v>0.05263157895</v>
      </c>
      <c r="R66" s="12" t="str">
        <f t="shared" si="1"/>
        <v>febrero 2027</v>
      </c>
      <c r="S66" s="12" t="str">
        <f t="shared" si="2"/>
        <v/>
      </c>
    </row>
    <row r="67">
      <c r="A67" s="46" t="s">
        <v>268</v>
      </c>
      <c r="B67" s="47" t="s">
        <v>269</v>
      </c>
      <c r="C67" s="46" t="s">
        <v>205</v>
      </c>
      <c r="D67" s="50">
        <v>46429.0</v>
      </c>
      <c r="E67" s="50">
        <v>46434.0</v>
      </c>
      <c r="F67" s="50"/>
      <c r="G67" s="50"/>
      <c r="H67" s="124"/>
      <c r="I67" s="68">
        <v>0.0</v>
      </c>
      <c r="J67" s="54">
        <f>IFERROR(__xludf.DUMMYFUNCTION("IF(OR(D67="""", E67=""""),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E67 - D67)"),5.0)</f>
        <v>5</v>
      </c>
      <c r="K67" s="55" t="str">
        <f>IFERROR(__xludf.DUMMYFUNCTION("IF(ISNUMBER(F67), IF(ISNUMBER(G67), G67 - F67, TODAY() - F67),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67" s="15" t="str">
        <f>IFERROR(__xludf.DUMMYFUNCTION("IF(AND(LEN(A67&amp;"""")-LEN(SUBSTITUTE(A67&amp;"""", ""."", """")) = 2, REGEXMATCH(A67&amp;"""", ""^(1\.|2\.|3\.|4\.1\.)"")), 1 / SUMPRODUCT(--(LEN($A$9:$A$200&amp;"""")-LEN(SUBSTITUTE($A$9:$A$200&amp;"""", ""."", """")) = 2), --REGEXMATCH($A$9:$A$200&amp;"""", ""^(1\.|2\.|3\.|"&amp;"4\.1\.)"")), """")"),"")</f>
        <v/>
      </c>
      <c r="N67" s="15" t="str">
        <f>IFERROR(__xludf.DUMMYFUNCTION("IF(AND(LEN(A67&amp;"""")-LEN(SUBSTITUTE(A67&amp;"""", ""."", """")) = 2, REGEXMATCH(A67&amp;"""", ""^(4\.2\.|4\.3\.)"")), 1 / SUMPRODUCT(--(LEN($A$9:$A$200&amp;"""")-LEN(SUBSTITUTE($A$9:$A$200&amp;"""", ""."", """")) = 2), --REGEXMATCH($A$9:$A$200&amp;"""", ""^(4\.2\.|4\.3\.)"")"&amp;"), """")"),"")</f>
        <v/>
      </c>
      <c r="O67" s="15" t="str">
        <f>IFERROR(__xludf.DUMMYFUNCTION("IF(AND(LEN(A67&amp;"""")-LEN(SUBSTITUTE(A67&amp;"""", ""."", """")) = 2, REGEXMATCH(A67&amp;"""", ""^4\.4\."")), 1 / SUMPRODUCT(--(LEN($A$9:$A$200&amp;"""")-LEN(SUBSTITUTE($A$9:$A$200&amp;"""", ""."", """")) = 2), --REGEXMATCH($A$9:$A$200&amp;"""", ""^4\.4\."")), """")"),"")</f>
        <v/>
      </c>
      <c r="P67" s="15" t="str">
        <f>IFERROR(__xludf.DUMMYFUNCTION("IF(AND(LEN(A67&amp;"""")-LEN(SUBSTITUTE(A67&amp;"""", ""."", """")) = 2, REGEXMATCH(A67&amp;"""", ""^4\.5\.[1-3]$"")), 1 / SUMPRODUCT(--(LEN($A$9:$A$200&amp;"""")-LEN(SUBSTITUTE($A$9:$A$200&amp;"""", ""."", """")) = 2), --REGEXMATCH($A$9:$A$200&amp;"""", ""^4\.5\.[1-3]$"")), """&amp;""")"),"")</f>
        <v/>
      </c>
      <c r="Q67" s="15">
        <f>IFERROR(__xludf.DUMMYFUNCTION("IF(AND(LEN(A67&amp;"""")-LEN(SUBSTITUTE(A67&amp;"""", ""."", """")) = 2, REGEXMATCH(A67&amp;"""", ""^(4\.5\.[4-9]$|4\.6\.|5\.)"")), 1 / SUMPRODUCT(--(LEN($A$9:$A$200&amp;"""")-LEN(SUBSTITUTE($A$9:$A$200&amp;"""", ""."", """")) = 2), --REGEXMATCH($A$9:$A$200&amp;"""", ""^(4\.5\.["&amp;"4-9]$|4\.6\.|5\.)"")), """")"),0.05263157894736842)</f>
        <v>0.05263157895</v>
      </c>
      <c r="R67" s="12" t="str">
        <f t="shared" si="1"/>
        <v>febrero 2027</v>
      </c>
      <c r="S67" s="12" t="str">
        <f t="shared" si="2"/>
        <v/>
      </c>
      <c r="U67" s="33" t="s">
        <v>349</v>
      </c>
    </row>
    <row r="68">
      <c r="A68" s="148">
        <v>4.6</v>
      </c>
      <c r="B68" s="149" t="s">
        <v>271</v>
      </c>
      <c r="C68" s="148" t="s">
        <v>205</v>
      </c>
      <c r="D68" s="50">
        <v>46280.0</v>
      </c>
      <c r="E68" s="50">
        <v>46441.0</v>
      </c>
      <c r="F68" s="50"/>
      <c r="G68" s="50"/>
      <c r="H68" s="124"/>
      <c r="I68" s="150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0)"),0.2)</f>
        <v>0.2</v>
      </c>
      <c r="J68" s="54">
        <f>IFERROR(__xludf.DUMMYFUNCTION("IF(OR(D68="""", E68=""""),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E68 - D68)"),161.0)</f>
        <v>161</v>
      </c>
      <c r="K68" s="55">
        <f>IFERROR(__xludf.DUMMYFUNCTION("IF(ISNUMBER(F68), IF(ISNUMBER(G68), G68 - F68, TODAY() - F68),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""""))"),74.0)</f>
        <v>74</v>
      </c>
      <c r="L68" s="151"/>
      <c r="M68" s="152" t="str">
        <f>IFERROR(__xludf.DUMMYFUNCTION("IF(AND(LEN(A68&amp;"""")-LEN(SUBSTITUTE(A68&amp;"""", ""."", """")) = 2, REGEXMATCH(A68&amp;"""", ""^(1\.|2\.|3\.|4\.1\.)"")), 1 / SUMPRODUCT(--(LEN($A$9:$A$200&amp;"""")-LEN(SUBSTITUTE($A$9:$A$200&amp;"""", ""."", """")) = 2), --REGEXMATCH($A$9:$A$200&amp;"""", ""^(1\.|2\.|3\.|"&amp;"4\.1\.)"")), """")"),"")</f>
        <v/>
      </c>
      <c r="N68" s="152" t="str">
        <f>IFERROR(__xludf.DUMMYFUNCTION("IF(AND(LEN(A68&amp;"""")-LEN(SUBSTITUTE(A68&amp;"""", ""."", """")) = 2, REGEXMATCH(A68&amp;"""", ""^(4\.2\.|4\.3\.)"")), 1 / SUMPRODUCT(--(LEN($A$9:$A$200&amp;"""")-LEN(SUBSTITUTE($A$9:$A$200&amp;"""", ""."", """")) = 2), --REGEXMATCH($A$9:$A$200&amp;"""", ""^(4\.2\.|4\.3\.)"")"&amp;"), """")"),"")</f>
        <v/>
      </c>
      <c r="O68" s="152" t="str">
        <f>IFERROR(__xludf.DUMMYFUNCTION("IF(AND(LEN(A68&amp;"""")-LEN(SUBSTITUTE(A68&amp;"""", ""."", """")) = 2, REGEXMATCH(A68&amp;"""", ""^4\.4\."")), 1 / SUMPRODUCT(--(LEN($A$9:$A$200&amp;"""")-LEN(SUBSTITUTE($A$9:$A$200&amp;"""", ""."", """")) = 2), --REGEXMATCH($A$9:$A$200&amp;"""", ""^4\.4\."")), """")"),"")</f>
        <v/>
      </c>
      <c r="P68" s="152" t="str">
        <f>IFERROR(__xludf.DUMMYFUNCTION("IF(AND(LEN(A68&amp;"""")-LEN(SUBSTITUTE(A68&amp;"""", ""."", """")) = 2, REGEXMATCH(A68&amp;"""", ""^4\.5\.[1-3]$"")), 1 / SUMPRODUCT(--(LEN($A$9:$A$200&amp;"""")-LEN(SUBSTITUTE($A$9:$A$200&amp;"""", ""."", """")) = 2), --REGEXMATCH($A$9:$A$200&amp;"""", ""^4\.5\.[1-3]$"")), """&amp;""")"),"")</f>
        <v/>
      </c>
      <c r="Q68" s="152" t="str">
        <f>IFERROR(__xludf.DUMMYFUNCTION("IF(AND(LEN(A68&amp;"""")-LEN(SUBSTITUTE(A68&amp;"""", ""."", """")) = 2, REGEXMATCH(A68&amp;"""", ""^(4\.5\.[4-9]$|4\.6\.|5\.)"")), 1 / SUMPRODUCT(--(LEN($A$9:$A$200&amp;"""")-LEN(SUBSTITUTE($A$9:$A$200&amp;"""", ""."", """")) = 2), --REGEXMATCH($A$9:$A$200&amp;"""", ""^(4\.5\.["&amp;"4-9]$|4\.6\.|5\.)"")), """")"),"")</f>
        <v/>
      </c>
      <c r="R68" s="151" t="str">
        <f t="shared" si="1"/>
        <v>febrero 2027</v>
      </c>
      <c r="S68" s="151" t="str">
        <f t="shared" si="2"/>
        <v/>
      </c>
      <c r="T68" s="151"/>
      <c r="U68" s="43" t="s">
        <v>51</v>
      </c>
      <c r="V68" s="43" t="s">
        <v>52</v>
      </c>
      <c r="W68" s="43" t="s">
        <v>54</v>
      </c>
      <c r="X68" s="43"/>
      <c r="Y68" s="43" t="s">
        <v>51</v>
      </c>
      <c r="Z68" s="43" t="s">
        <v>55</v>
      </c>
      <c r="AA68" s="43" t="s">
        <v>56</v>
      </c>
      <c r="AB68" s="151"/>
      <c r="AC68" s="151"/>
      <c r="AD68" s="151"/>
      <c r="AE68" s="151"/>
      <c r="AF68" s="151"/>
      <c r="AG68" s="151"/>
      <c r="AH68" s="151"/>
      <c r="AI68" s="151"/>
      <c r="AJ68" s="151"/>
      <c r="AK68" s="151"/>
      <c r="AL68" s="151"/>
      <c r="AM68" s="151"/>
      <c r="AN68" s="151"/>
      <c r="AO68" s="151"/>
      <c r="AP68" s="151"/>
    </row>
    <row r="69">
      <c r="A69" s="46" t="s">
        <v>272</v>
      </c>
      <c r="B69" s="47" t="s">
        <v>273</v>
      </c>
      <c r="C69" s="46" t="s">
        <v>205</v>
      </c>
      <c r="D69" s="50">
        <v>46280.0</v>
      </c>
      <c r="E69" s="50">
        <v>46434.0</v>
      </c>
      <c r="F69" s="50">
        <v>46248.0</v>
      </c>
      <c r="G69" s="50">
        <v>46252.0</v>
      </c>
      <c r="H69" s="124"/>
      <c r="I69" s="68">
        <v>1.0</v>
      </c>
      <c r="J69" s="54">
        <f>IFERROR(__xludf.DUMMYFUNCTION("IF(OR(D69="""", E69=""""),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E69 - D69)"),154.0)</f>
        <v>154</v>
      </c>
      <c r="K69" s="55">
        <f>IFERROR(__xludf.DUMMYFUNCTION("IF(ISNUMBER(F69), IF(ISNUMBER(G69), G69 - F69, TODAY() - F69),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""""))"),4.0)</f>
        <v>4</v>
      </c>
      <c r="M69" s="15" t="str">
        <f>IFERROR(__xludf.DUMMYFUNCTION("IF(AND(LEN(A69&amp;"""")-LEN(SUBSTITUTE(A69&amp;"""", ""."", """")) = 2, REGEXMATCH(A69&amp;"""", ""^(1\.|2\.|3\.|4\.1\.)"")), 1 / SUMPRODUCT(--(LEN($A$9:$A$200&amp;"""")-LEN(SUBSTITUTE($A$9:$A$200&amp;"""", ""."", """")) = 2), --REGEXMATCH($A$9:$A$200&amp;"""", ""^(1\.|2\.|3\.|"&amp;"4\.1\.)"")), """")"),"")</f>
        <v/>
      </c>
      <c r="N69" s="15" t="str">
        <f>IFERROR(__xludf.DUMMYFUNCTION("IF(AND(LEN(A69&amp;"""")-LEN(SUBSTITUTE(A69&amp;"""", ""."", """")) = 2, REGEXMATCH(A69&amp;"""", ""^(4\.2\.|4\.3\.)"")), 1 / SUMPRODUCT(--(LEN($A$9:$A$200&amp;"""")-LEN(SUBSTITUTE($A$9:$A$200&amp;"""", ""."", """")) = 2), --REGEXMATCH($A$9:$A$200&amp;"""", ""^(4\.2\.|4\.3\.)"")"&amp;"), """")"),"")</f>
        <v/>
      </c>
      <c r="O69" s="15" t="str">
        <f>IFERROR(__xludf.DUMMYFUNCTION("IF(AND(LEN(A69&amp;"""")-LEN(SUBSTITUTE(A69&amp;"""", ""."", """")) = 2, REGEXMATCH(A69&amp;"""", ""^4\.4\."")), 1 / SUMPRODUCT(--(LEN($A$9:$A$200&amp;"""")-LEN(SUBSTITUTE($A$9:$A$200&amp;"""", ""."", """")) = 2), --REGEXMATCH($A$9:$A$200&amp;"""", ""^4\.4\."")), """")"),"")</f>
        <v/>
      </c>
      <c r="P69" s="15" t="str">
        <f>IFERROR(__xludf.DUMMYFUNCTION("IF(AND(LEN(A69&amp;"""")-LEN(SUBSTITUTE(A69&amp;"""", ""."", """")) = 2, REGEXMATCH(A69&amp;"""", ""^4\.5\.[1-3]$"")), 1 / SUMPRODUCT(--(LEN($A$9:$A$200&amp;"""")-LEN(SUBSTITUTE($A$9:$A$200&amp;"""", ""."", """")) = 2), --REGEXMATCH($A$9:$A$200&amp;"""", ""^4\.5\.[1-3]$"")), """&amp;""")"),"")</f>
        <v/>
      </c>
      <c r="Q69" s="15">
        <f>IFERROR(__xludf.DUMMYFUNCTION("IF(AND(LEN(A69&amp;"""")-LEN(SUBSTITUTE(A69&amp;"""", ""."", """")) = 2, REGEXMATCH(A69&amp;"""", ""^(4\.5\.[4-9]$|4\.6\.|5\.)"")), 1 / SUMPRODUCT(--(LEN($A$9:$A$200&amp;"""")-LEN(SUBSTITUTE($A$9:$A$200&amp;"""", ""."", """")) = 2), --REGEXMATCH($A$9:$A$200&amp;"""", ""^(4\.5\.["&amp;"4-9]$|4\.6\.|5\.)"")), """")"),0.05263157894736842)</f>
        <v>0.05263157895</v>
      </c>
      <c r="R69" s="12" t="str">
        <f t="shared" si="1"/>
        <v>febrero 2027</v>
      </c>
      <c r="S69" s="12" t="str">
        <f t="shared" si="2"/>
        <v>agosto 2026</v>
      </c>
      <c r="U69" s="12" t="s">
        <v>319</v>
      </c>
      <c r="V69" s="15">
        <v>0.0</v>
      </c>
      <c r="W69" s="15">
        <f>V69</f>
        <v>0</v>
      </c>
      <c r="Y69" s="12" t="s">
        <v>11</v>
      </c>
      <c r="Z69" s="15">
        <v>0.05263157894736842</v>
      </c>
      <c r="AA69" s="15">
        <f>Z69</f>
        <v>0.05263157895</v>
      </c>
    </row>
    <row r="70">
      <c r="A70" s="46" t="s">
        <v>275</v>
      </c>
      <c r="B70" s="47" t="s">
        <v>276</v>
      </c>
      <c r="C70" s="46" t="s">
        <v>205</v>
      </c>
      <c r="D70" s="50">
        <v>46280.0</v>
      </c>
      <c r="E70" s="50">
        <v>46434.0</v>
      </c>
      <c r="F70" s="50"/>
      <c r="G70" s="50"/>
      <c r="H70" s="124"/>
      <c r="I70" s="68">
        <v>0.0</v>
      </c>
      <c r="J70" s="54">
        <f>IFERROR(__xludf.DUMMYFUNCTION("IF(OR(D70="""", E70=""""),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E70 - D70)"),154.0)</f>
        <v>154</v>
      </c>
      <c r="K70" s="55" t="str">
        <f>IFERROR(__xludf.DUMMYFUNCTION("IF(ISNUMBER(F70), IF(ISNUMBER(G70), G70 - F70, TODAY() - F70),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70" s="15" t="str">
        <f>IFERROR(__xludf.DUMMYFUNCTION("IF(AND(LEN(A70&amp;"""")-LEN(SUBSTITUTE(A70&amp;"""", ""."", """")) = 2, REGEXMATCH(A70&amp;"""", ""^(1\.|2\.|3\.|4\.1\.)"")), 1 / SUMPRODUCT(--(LEN($A$9:$A$200&amp;"""")-LEN(SUBSTITUTE($A$9:$A$200&amp;"""", ""."", """")) = 2), --REGEXMATCH($A$9:$A$200&amp;"""", ""^(1\.|2\.|3\.|"&amp;"4\.1\.)"")), """")"),"")</f>
        <v/>
      </c>
      <c r="N70" s="15" t="str">
        <f>IFERROR(__xludf.DUMMYFUNCTION("IF(AND(LEN(A70&amp;"""")-LEN(SUBSTITUTE(A70&amp;"""", ""."", """")) = 2, REGEXMATCH(A70&amp;"""", ""^(4\.2\.|4\.3\.)"")), 1 / SUMPRODUCT(--(LEN($A$9:$A$200&amp;"""")-LEN(SUBSTITUTE($A$9:$A$200&amp;"""", ""."", """")) = 2), --REGEXMATCH($A$9:$A$200&amp;"""", ""^(4\.2\.|4\.3\.)"")"&amp;"), """")"),"")</f>
        <v/>
      </c>
      <c r="O70" s="15" t="str">
        <f>IFERROR(__xludf.DUMMYFUNCTION("IF(AND(LEN(A70&amp;"""")-LEN(SUBSTITUTE(A70&amp;"""", ""."", """")) = 2, REGEXMATCH(A70&amp;"""", ""^4\.4\."")), 1 / SUMPRODUCT(--(LEN($A$9:$A$200&amp;"""")-LEN(SUBSTITUTE($A$9:$A$200&amp;"""", ""."", """")) = 2), --REGEXMATCH($A$9:$A$200&amp;"""", ""^4\.4\."")), """")"),"")</f>
        <v/>
      </c>
      <c r="P70" s="15" t="str">
        <f>IFERROR(__xludf.DUMMYFUNCTION("IF(AND(LEN(A70&amp;"""")-LEN(SUBSTITUTE(A70&amp;"""", ""."", """")) = 2, REGEXMATCH(A70&amp;"""", ""^4\.5\.[1-3]$"")), 1 / SUMPRODUCT(--(LEN($A$9:$A$200&amp;"""")-LEN(SUBSTITUTE($A$9:$A$200&amp;"""", ""."", """")) = 2), --REGEXMATCH($A$9:$A$200&amp;"""", ""^4\.5\.[1-3]$"")), """&amp;""")"),"")</f>
        <v/>
      </c>
      <c r="Q70" s="15">
        <f>IFERROR(__xludf.DUMMYFUNCTION("IF(AND(LEN(A70&amp;"""")-LEN(SUBSTITUTE(A70&amp;"""", ""."", """")) = 2, REGEXMATCH(A70&amp;"""", ""^(4\.5\.[4-9]$|4\.6\.|5\.)"")), 1 / SUMPRODUCT(--(LEN($A$9:$A$200&amp;"""")-LEN(SUBSTITUTE($A$9:$A$200&amp;"""", ""."", """")) = 2), --REGEXMATCH($A$9:$A$200&amp;"""", ""^(4\.5\.["&amp;"4-9]$|4\.6\.|5\.)"")), """")"),0.05263157894736842)</f>
        <v>0.05263157895</v>
      </c>
      <c r="R70" s="12" t="str">
        <f t="shared" si="1"/>
        <v>febrero 2027</v>
      </c>
      <c r="S70" s="12" t="str">
        <f t="shared" si="2"/>
        <v/>
      </c>
      <c r="U70" s="12" t="s">
        <v>358</v>
      </c>
      <c r="V70" s="15">
        <v>0.47368421052631576</v>
      </c>
      <c r="W70" s="15">
        <f t="shared" ref="W70:W71" si="11">V70+W69</f>
        <v>0.4736842105</v>
      </c>
      <c r="Y70" s="12" t="s">
        <v>319</v>
      </c>
      <c r="Z70" s="15">
        <v>0.0</v>
      </c>
      <c r="AA70" s="15">
        <f t="shared" ref="AA70:AA72" si="12">Z70+AA69</f>
        <v>0.05263157895</v>
      </c>
    </row>
    <row r="71">
      <c r="A71" s="46" t="s">
        <v>277</v>
      </c>
      <c r="B71" s="47" t="s">
        <v>278</v>
      </c>
      <c r="C71" s="46" t="s">
        <v>157</v>
      </c>
      <c r="D71" s="50">
        <v>46280.0</v>
      </c>
      <c r="E71" s="50">
        <v>46434.0</v>
      </c>
      <c r="F71" s="50"/>
      <c r="G71" s="50"/>
      <c r="H71" s="124"/>
      <c r="I71" s="68">
        <v>0.0</v>
      </c>
      <c r="J71" s="54">
        <f>IFERROR(__xludf.DUMMYFUNCTION("IF(OR(D71="""", E71=""""),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E71 - D71)"),154.0)</f>
        <v>154</v>
      </c>
      <c r="K71" s="55" t="str">
        <f>IFERROR(__xludf.DUMMYFUNCTION("IF(ISNUMBER(F71), IF(ISNUMBER(G71), G71 - F71, TODAY() - F71),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71" s="15" t="str">
        <f>IFERROR(__xludf.DUMMYFUNCTION("IF(AND(LEN(A71&amp;"""")-LEN(SUBSTITUTE(A71&amp;"""", ""."", """")) = 2, REGEXMATCH(A71&amp;"""", ""^(1\.|2\.|3\.|4\.1\.)"")), 1 / SUMPRODUCT(--(LEN($A$9:$A$200&amp;"""")-LEN(SUBSTITUTE($A$9:$A$200&amp;"""", ""."", """")) = 2), --REGEXMATCH($A$9:$A$200&amp;"""", ""^(1\.|2\.|3\.|"&amp;"4\.1\.)"")), """")"),"")</f>
        <v/>
      </c>
      <c r="N71" s="15" t="str">
        <f>IFERROR(__xludf.DUMMYFUNCTION("IF(AND(LEN(A71&amp;"""")-LEN(SUBSTITUTE(A71&amp;"""", ""."", """")) = 2, REGEXMATCH(A71&amp;"""", ""^(4\.2\.|4\.3\.)"")), 1 / SUMPRODUCT(--(LEN($A$9:$A$200&amp;"""")-LEN(SUBSTITUTE($A$9:$A$200&amp;"""", ""."", """")) = 2), --REGEXMATCH($A$9:$A$200&amp;"""", ""^(4\.2\.|4\.3\.)"")"&amp;"), """")"),"")</f>
        <v/>
      </c>
      <c r="O71" s="15" t="str">
        <f>IFERROR(__xludf.DUMMYFUNCTION("IF(AND(LEN(A71&amp;"""")-LEN(SUBSTITUTE(A71&amp;"""", ""."", """")) = 2, REGEXMATCH(A71&amp;"""", ""^4\.4\."")), 1 / SUMPRODUCT(--(LEN($A$9:$A$200&amp;"""")-LEN(SUBSTITUTE($A$9:$A$200&amp;"""", ""."", """")) = 2), --REGEXMATCH($A$9:$A$200&amp;"""", ""^4\.4\."")), """")"),"")</f>
        <v/>
      </c>
      <c r="P71" s="15" t="str">
        <f>IFERROR(__xludf.DUMMYFUNCTION("IF(AND(LEN(A71&amp;"""")-LEN(SUBSTITUTE(A71&amp;"""", ""."", """")) = 2, REGEXMATCH(A71&amp;"""", ""^4\.5\.[1-3]$"")), 1 / SUMPRODUCT(--(LEN($A$9:$A$200&amp;"""")-LEN(SUBSTITUTE($A$9:$A$200&amp;"""", ""."", """")) = 2), --REGEXMATCH($A$9:$A$200&amp;"""", ""^4\.5\.[1-3]$"")), """&amp;""")"),"")</f>
        <v/>
      </c>
      <c r="Q71" s="15">
        <f>IFERROR(__xludf.DUMMYFUNCTION("IF(AND(LEN(A71&amp;"""")-LEN(SUBSTITUTE(A71&amp;"""", ""."", """")) = 2, REGEXMATCH(A71&amp;"""", ""^(4\.5\.[4-9]$|4\.6\.|5\.)"")), 1 / SUMPRODUCT(--(LEN($A$9:$A$200&amp;"""")-LEN(SUBSTITUTE($A$9:$A$200&amp;"""", ""."", """")) = 2), --REGEXMATCH($A$9:$A$200&amp;"""", ""^(4\.5\.["&amp;"4-9]$|4\.6\.|5\.)"")), """")"),0.05263157894736842)</f>
        <v>0.05263157895</v>
      </c>
      <c r="R71" s="12" t="str">
        <f t="shared" si="1"/>
        <v>febrero 2027</v>
      </c>
      <c r="S71" s="12" t="str">
        <f t="shared" si="2"/>
        <v/>
      </c>
      <c r="U71" s="12" t="s">
        <v>362</v>
      </c>
      <c r="V71" s="15">
        <v>0.5263157894736842</v>
      </c>
      <c r="W71" s="15">
        <f t="shared" si="11"/>
        <v>1</v>
      </c>
      <c r="Y71" s="12" t="s">
        <v>358</v>
      </c>
      <c r="Z71" s="15">
        <v>0.0</v>
      </c>
      <c r="AA71" s="15">
        <f t="shared" si="12"/>
        <v>0.05263157895</v>
      </c>
    </row>
    <row r="72">
      <c r="A72" s="46" t="s">
        <v>279</v>
      </c>
      <c r="B72" s="47" t="s">
        <v>280</v>
      </c>
      <c r="C72" s="46" t="s">
        <v>163</v>
      </c>
      <c r="D72" s="50">
        <v>46280.0</v>
      </c>
      <c r="E72" s="50">
        <v>46434.0</v>
      </c>
      <c r="F72" s="50"/>
      <c r="G72" s="50"/>
      <c r="H72" s="124"/>
      <c r="I72" s="68">
        <v>0.0</v>
      </c>
      <c r="J72" s="54">
        <f>IFERROR(__xludf.DUMMYFUNCTION("IF(OR(D72="""", E72=""""),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E72 - D72)"),154.0)</f>
        <v>154</v>
      </c>
      <c r="K72" s="55" t="str">
        <f>IFERROR(__xludf.DUMMYFUNCTION("IF(ISNUMBER(F72), IF(ISNUMBER(G72), G72 - F72, TODAY() - F72),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72" s="15" t="str">
        <f>IFERROR(__xludf.DUMMYFUNCTION("IF(AND(LEN(A72&amp;"""")-LEN(SUBSTITUTE(A72&amp;"""", ""."", """")) = 2, REGEXMATCH(A72&amp;"""", ""^(1\.|2\.|3\.|4\.1\.)"")), 1 / SUMPRODUCT(--(LEN($A$9:$A$200&amp;"""")-LEN(SUBSTITUTE($A$9:$A$200&amp;"""", ""."", """")) = 2), --REGEXMATCH($A$9:$A$200&amp;"""", ""^(1\.|2\.|3\.|"&amp;"4\.1\.)"")), """")"),"")</f>
        <v/>
      </c>
      <c r="N72" s="15" t="str">
        <f>IFERROR(__xludf.DUMMYFUNCTION("IF(AND(LEN(A72&amp;"""")-LEN(SUBSTITUTE(A72&amp;"""", ""."", """")) = 2, REGEXMATCH(A72&amp;"""", ""^(4\.2\.|4\.3\.)"")), 1 / SUMPRODUCT(--(LEN($A$9:$A$200&amp;"""")-LEN(SUBSTITUTE($A$9:$A$200&amp;"""", ""."", """")) = 2), --REGEXMATCH($A$9:$A$200&amp;"""", ""^(4\.2\.|4\.3\.)"")"&amp;"), """")"),"")</f>
        <v/>
      </c>
      <c r="O72" s="15" t="str">
        <f>IFERROR(__xludf.DUMMYFUNCTION("IF(AND(LEN(A72&amp;"""")-LEN(SUBSTITUTE(A72&amp;"""", ""."", """")) = 2, REGEXMATCH(A72&amp;"""", ""^4\.4\."")), 1 / SUMPRODUCT(--(LEN($A$9:$A$200&amp;"""")-LEN(SUBSTITUTE($A$9:$A$200&amp;"""", ""."", """")) = 2), --REGEXMATCH($A$9:$A$200&amp;"""", ""^4\.4\."")), """")"),"")</f>
        <v/>
      </c>
      <c r="P72" s="15" t="str">
        <f>IFERROR(__xludf.DUMMYFUNCTION("IF(AND(LEN(A72&amp;"""")-LEN(SUBSTITUTE(A72&amp;"""", ""."", """")) = 2, REGEXMATCH(A72&amp;"""", ""^4\.5\.[1-3]$"")), 1 / SUMPRODUCT(--(LEN($A$9:$A$200&amp;"""")-LEN(SUBSTITUTE($A$9:$A$200&amp;"""", ""."", """")) = 2), --REGEXMATCH($A$9:$A$200&amp;"""", ""^4\.5\.[1-3]$"")), """&amp;""")"),"")</f>
        <v/>
      </c>
      <c r="Q72" s="15">
        <f>IFERROR(__xludf.DUMMYFUNCTION("IF(AND(LEN(A72&amp;"""")-LEN(SUBSTITUTE(A72&amp;"""", ""."", """")) = 2, REGEXMATCH(A72&amp;"""", ""^(4\.5\.[4-9]$|4\.6\.|5\.)"")), 1 / SUMPRODUCT(--(LEN($A$9:$A$200&amp;"""")-LEN(SUBSTITUTE($A$9:$A$200&amp;"""", ""."", """")) = 2), --REGEXMATCH($A$9:$A$200&amp;"""", ""^(4\.5\.["&amp;"4-9]$|4\.6\.|5\.)"")), """")"),0.05263157894736842)</f>
        <v>0.05263157895</v>
      </c>
      <c r="R72" s="12" t="str">
        <f t="shared" si="1"/>
        <v>febrero 2027</v>
      </c>
      <c r="S72" s="12" t="str">
        <f t="shared" si="2"/>
        <v/>
      </c>
      <c r="Y72" s="12" t="s">
        <v>362</v>
      </c>
      <c r="Z72" s="15">
        <v>0.0</v>
      </c>
      <c r="AA72" s="15">
        <f t="shared" si="12"/>
        <v>0.05263157895</v>
      </c>
    </row>
    <row r="73">
      <c r="A73" s="46" t="s">
        <v>282</v>
      </c>
      <c r="B73" s="47" t="s">
        <v>283</v>
      </c>
      <c r="C73" s="46" t="s">
        <v>205</v>
      </c>
      <c r="D73" s="50">
        <v>46434.0</v>
      </c>
      <c r="E73" s="50">
        <v>46441.0</v>
      </c>
      <c r="F73" s="50"/>
      <c r="G73" s="50"/>
      <c r="H73" s="124"/>
      <c r="I73" s="68">
        <v>0.0</v>
      </c>
      <c r="J73" s="54">
        <f>IFERROR(__xludf.DUMMYFUNCTION("IF(OR(D73="""", E73=""""),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E73 - D73)"),7.0)</f>
        <v>7</v>
      </c>
      <c r="K73" s="55" t="str">
        <f>IFERROR(__xludf.DUMMYFUNCTION("IF(ISNUMBER(F73), IF(ISNUMBER(G73), G73 - F73, TODAY() - F73),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73" s="15" t="str">
        <f>IFERROR(__xludf.DUMMYFUNCTION("IF(AND(LEN(A73&amp;"""")-LEN(SUBSTITUTE(A73&amp;"""", ""."", """")) = 2, REGEXMATCH(A73&amp;"""", ""^(1\.|2\.|3\.|4\.1\.)"")), 1 / SUMPRODUCT(--(LEN($A$9:$A$200&amp;"""")-LEN(SUBSTITUTE($A$9:$A$200&amp;"""", ""."", """")) = 2), --REGEXMATCH($A$9:$A$200&amp;"""", ""^(1\.|2\.|3\.|"&amp;"4\.1\.)"")), """")"),"")</f>
        <v/>
      </c>
      <c r="N73" s="15" t="str">
        <f>IFERROR(__xludf.DUMMYFUNCTION("IF(AND(LEN(A73&amp;"""")-LEN(SUBSTITUTE(A73&amp;"""", ""."", """")) = 2, REGEXMATCH(A73&amp;"""", ""^(4\.2\.|4\.3\.)"")), 1 / SUMPRODUCT(--(LEN($A$9:$A$200&amp;"""")-LEN(SUBSTITUTE($A$9:$A$200&amp;"""", ""."", """")) = 2), --REGEXMATCH($A$9:$A$200&amp;"""", ""^(4\.2\.|4\.3\.)"")"&amp;"), """")"),"")</f>
        <v/>
      </c>
      <c r="O73" s="15" t="str">
        <f>IFERROR(__xludf.DUMMYFUNCTION("IF(AND(LEN(A73&amp;"""")-LEN(SUBSTITUTE(A73&amp;"""", ""."", """")) = 2, REGEXMATCH(A73&amp;"""", ""^4\.4\."")), 1 / SUMPRODUCT(--(LEN($A$9:$A$200&amp;"""")-LEN(SUBSTITUTE($A$9:$A$200&amp;"""", ""."", """")) = 2), --REGEXMATCH($A$9:$A$200&amp;"""", ""^4\.4\."")), """")"),"")</f>
        <v/>
      </c>
      <c r="P73" s="15" t="str">
        <f>IFERROR(__xludf.DUMMYFUNCTION("IF(AND(LEN(A73&amp;"""")-LEN(SUBSTITUTE(A73&amp;"""", ""."", """")) = 2, REGEXMATCH(A73&amp;"""", ""^4\.5\.[1-3]$"")), 1 / SUMPRODUCT(--(LEN($A$9:$A$200&amp;"""")-LEN(SUBSTITUTE($A$9:$A$200&amp;"""", ""."", """")) = 2), --REGEXMATCH($A$9:$A$200&amp;"""", ""^4\.5\.[1-3]$"")), """&amp;""")"),"")</f>
        <v/>
      </c>
      <c r="Q73" s="15">
        <f>IFERROR(__xludf.DUMMYFUNCTION("IF(AND(LEN(A73&amp;"""")-LEN(SUBSTITUTE(A73&amp;"""", ""."", """")) = 2, REGEXMATCH(A73&amp;"""", ""^(4\.5\.[4-9]$|4\.6\.|5\.)"")), 1 / SUMPRODUCT(--(LEN($A$9:$A$200&amp;"""")-LEN(SUBSTITUTE($A$9:$A$200&amp;"""", ""."", """")) = 2), --REGEXMATCH($A$9:$A$200&amp;"""", ""^(4\.5\.["&amp;"4-9]$|4\.6\.|5\.)"")), """")"),0.05263157894736842)</f>
        <v>0.05263157895</v>
      </c>
      <c r="R73" s="12" t="str">
        <f t="shared" si="1"/>
        <v>febrero 2027</v>
      </c>
      <c r="S73" s="12" t="str">
        <f t="shared" si="2"/>
        <v/>
      </c>
      <c r="Y73" s="153"/>
      <c r="Z73" s="15"/>
    </row>
    <row r="74">
      <c r="A74" s="46">
        <v>5.0</v>
      </c>
      <c r="B74" s="47" t="s">
        <v>284</v>
      </c>
      <c r="C74" s="46"/>
      <c r="D74" s="50">
        <v>46441.0</v>
      </c>
      <c r="E74" s="50">
        <v>46476.0</v>
      </c>
      <c r="F74" s="50"/>
      <c r="G74" s="50"/>
      <c r="H74" s="124"/>
      <c r="I74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0)"),0.0)</f>
        <v>0</v>
      </c>
      <c r="J74" s="54">
        <f>IFERROR(__xludf.DUMMYFUNCTION("IF(OR(D74="""", E74=""""),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E74 - D74)"),35.0)</f>
        <v>35</v>
      </c>
      <c r="K74" s="55" t="str">
        <f>IFERROR(__xludf.DUMMYFUNCTION("IF(ISNUMBER(F74), IF(ISNUMBER(G74), G74 - F74, TODAY() - F74),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74" s="15" t="str">
        <f>IFERROR(__xludf.DUMMYFUNCTION("IF(AND(LEN(A74&amp;"""")-LEN(SUBSTITUTE(A74&amp;"""", ""."", """")) = 2, REGEXMATCH(A74&amp;"""", ""^(1\.|2\.|3\.|4\.1\.)"")), 1 / SUMPRODUCT(--(LEN($A$9:$A$200&amp;"""")-LEN(SUBSTITUTE($A$9:$A$200&amp;"""", ""."", """")) = 2), --REGEXMATCH($A$9:$A$200&amp;"""", ""^(1\.|2\.|3\.|"&amp;"4\.1\.)"")), """")"),"")</f>
        <v/>
      </c>
      <c r="N74" s="15" t="str">
        <f>IFERROR(__xludf.DUMMYFUNCTION("IF(AND(LEN(A74&amp;"""")-LEN(SUBSTITUTE(A74&amp;"""", ""."", """")) = 2, REGEXMATCH(A74&amp;"""", ""^(4\.2\.|4\.3\.)"")), 1 / SUMPRODUCT(--(LEN($A$9:$A$200&amp;"""")-LEN(SUBSTITUTE($A$9:$A$200&amp;"""", ""."", """")) = 2), --REGEXMATCH($A$9:$A$200&amp;"""", ""^(4\.2\.|4\.3\.)"")"&amp;"), """")"),"")</f>
        <v/>
      </c>
      <c r="O74" s="15" t="str">
        <f>IFERROR(__xludf.DUMMYFUNCTION("IF(AND(LEN(A74&amp;"""")-LEN(SUBSTITUTE(A74&amp;"""", ""."", """")) = 2, REGEXMATCH(A74&amp;"""", ""^4\.4\."")), 1 / SUMPRODUCT(--(LEN($A$9:$A$200&amp;"""")-LEN(SUBSTITUTE($A$9:$A$200&amp;"""", ""."", """")) = 2), --REGEXMATCH($A$9:$A$200&amp;"""", ""^4\.4\."")), """")"),"")</f>
        <v/>
      </c>
      <c r="P74" s="15" t="str">
        <f>IFERROR(__xludf.DUMMYFUNCTION("IF(AND(LEN(A74&amp;"""")-LEN(SUBSTITUTE(A74&amp;"""", ""."", """")) = 2, REGEXMATCH(A74&amp;"""", ""^4\.5\.[1-3]$"")), 1 / SUMPRODUCT(--(LEN($A$9:$A$200&amp;"""")-LEN(SUBSTITUTE($A$9:$A$200&amp;"""", ""."", """")) = 2), --REGEXMATCH($A$9:$A$200&amp;"""", ""^4\.5\.[1-3]$"")), """&amp;""")"),"")</f>
        <v/>
      </c>
      <c r="Q74" s="15" t="str">
        <f>IFERROR(__xludf.DUMMYFUNCTION("IF(AND(LEN(A74&amp;"""")-LEN(SUBSTITUTE(A74&amp;"""", ""."", """")) = 2, REGEXMATCH(A74&amp;"""", ""^(4\.5\.[4-9]$|4\.6\.|5\.)"")), 1 / SUMPRODUCT(--(LEN($A$9:$A$200&amp;"""")-LEN(SUBSTITUTE($A$9:$A$200&amp;"""", ""."", """")) = 2), --REGEXMATCH($A$9:$A$200&amp;"""", ""^(4\.5\.["&amp;"4-9]$|4\.6\.|5\.)"")), """")"),"")</f>
        <v/>
      </c>
      <c r="R74" s="12" t="str">
        <f t="shared" si="1"/>
        <v>marzo 2027</v>
      </c>
      <c r="S74" s="12" t="str">
        <f t="shared" si="2"/>
        <v/>
      </c>
    </row>
    <row r="75">
      <c r="A75" s="46">
        <v>5.1</v>
      </c>
      <c r="B75" s="47" t="s">
        <v>286</v>
      </c>
      <c r="C75" s="46"/>
      <c r="D75" s="50">
        <v>46441.0</v>
      </c>
      <c r="E75" s="50">
        <v>46455.0</v>
      </c>
      <c r="F75" s="50"/>
      <c r="G75" s="50"/>
      <c r="H75" s="124"/>
      <c r="I75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0)"),0.0)</f>
        <v>0</v>
      </c>
      <c r="J75" s="54">
        <f>IFERROR(__xludf.DUMMYFUNCTION("IF(OR(D75="""", E75=""""),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E75 - D75)"),14.0)</f>
        <v>14</v>
      </c>
      <c r="K75" s="55" t="str">
        <f>IFERROR(__xludf.DUMMYFUNCTION("IF(ISNUMBER(F75), IF(ISNUMBER(G75), G75 - F75, TODAY() - F75),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75" s="15" t="str">
        <f>IFERROR(__xludf.DUMMYFUNCTION("IF(AND(LEN(A75&amp;"""")-LEN(SUBSTITUTE(A75&amp;"""", ""."", """")) = 2, REGEXMATCH(A75&amp;"""", ""^(1\.|2\.|3\.|4\.1\.)"")), 1 / SUMPRODUCT(--(LEN($A$9:$A$200&amp;"""")-LEN(SUBSTITUTE($A$9:$A$200&amp;"""", ""."", """")) = 2), --REGEXMATCH($A$9:$A$200&amp;"""", ""^(1\.|2\.|3\.|"&amp;"4\.1\.)"")), """")"),"")</f>
        <v/>
      </c>
      <c r="N75" s="15" t="str">
        <f>IFERROR(__xludf.DUMMYFUNCTION("IF(AND(LEN(A75&amp;"""")-LEN(SUBSTITUTE(A75&amp;"""", ""."", """")) = 2, REGEXMATCH(A75&amp;"""", ""^(4\.2\.|4\.3\.)"")), 1 / SUMPRODUCT(--(LEN($A$9:$A$200&amp;"""")-LEN(SUBSTITUTE($A$9:$A$200&amp;"""", ""."", """")) = 2), --REGEXMATCH($A$9:$A$200&amp;"""", ""^(4\.2\.|4\.3\.)"")"&amp;"), """")"),"")</f>
        <v/>
      </c>
      <c r="O75" s="15" t="str">
        <f>IFERROR(__xludf.DUMMYFUNCTION("IF(AND(LEN(A75&amp;"""")-LEN(SUBSTITUTE(A75&amp;"""", ""."", """")) = 2, REGEXMATCH(A75&amp;"""", ""^4\.4\."")), 1 / SUMPRODUCT(--(LEN($A$9:$A$200&amp;"""")-LEN(SUBSTITUTE($A$9:$A$200&amp;"""", ""."", """")) = 2), --REGEXMATCH($A$9:$A$200&amp;"""", ""^4\.4\."")), """")"),"")</f>
        <v/>
      </c>
      <c r="P75" s="15" t="str">
        <f>IFERROR(__xludf.DUMMYFUNCTION("IF(AND(LEN(A75&amp;"""")-LEN(SUBSTITUTE(A75&amp;"""", ""."", """")) = 2, REGEXMATCH(A75&amp;"""", ""^4\.5\.[1-3]$"")), 1 / SUMPRODUCT(--(LEN($A$9:$A$200&amp;"""")-LEN(SUBSTITUTE($A$9:$A$200&amp;"""", ""."", """")) = 2), --REGEXMATCH($A$9:$A$200&amp;"""", ""^4\.5\.[1-3]$"")), """&amp;""")"),"")</f>
        <v/>
      </c>
      <c r="Q75" s="15" t="str">
        <f>IFERROR(__xludf.DUMMYFUNCTION("IF(AND(LEN(A75&amp;"""")-LEN(SUBSTITUTE(A75&amp;"""", ""."", """")) = 2, REGEXMATCH(A75&amp;"""", ""^(4\.5\.[4-9]$|4\.6\.|5\.)"")), 1 / SUMPRODUCT(--(LEN($A$9:$A$200&amp;"""")-LEN(SUBSTITUTE($A$9:$A$200&amp;"""", ""."", """")) = 2), --REGEXMATCH($A$9:$A$200&amp;"""", ""^(4\.5\.["&amp;"4-9]$|4\.6\.|5\.)"")), """")"),"")</f>
        <v/>
      </c>
      <c r="R75" s="12" t="str">
        <f t="shared" si="1"/>
        <v>marzo 2027</v>
      </c>
      <c r="S75" s="12" t="str">
        <f t="shared" si="2"/>
        <v/>
      </c>
    </row>
    <row r="76">
      <c r="A76" s="46" t="s">
        <v>288</v>
      </c>
      <c r="B76" s="47" t="s">
        <v>289</v>
      </c>
      <c r="C76" s="46"/>
      <c r="D76" s="50">
        <v>46441.0</v>
      </c>
      <c r="E76" s="50">
        <v>46444.0</v>
      </c>
      <c r="F76" s="50"/>
      <c r="G76" s="50"/>
      <c r="H76" s="124"/>
      <c r="I76" s="68">
        <v>0.0</v>
      </c>
      <c r="J76" s="54">
        <f>IFERROR(__xludf.DUMMYFUNCTION("IF(OR(D76="""", E76=""""),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E76 - D76)"),3.0)</f>
        <v>3</v>
      </c>
      <c r="K76" s="55" t="str">
        <f>IFERROR(__xludf.DUMMYFUNCTION("IF(ISNUMBER(F76), IF(ISNUMBER(G76), G76 - F76, TODAY() - F76),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76" s="15" t="str">
        <f>IFERROR(__xludf.DUMMYFUNCTION("IF(AND(LEN(A76&amp;"""")-LEN(SUBSTITUTE(A76&amp;"""", ""."", """")) = 2, REGEXMATCH(A76&amp;"""", ""^(1\.|2\.|3\.|4\.1\.)"")), 1 / SUMPRODUCT(--(LEN($A$9:$A$200&amp;"""")-LEN(SUBSTITUTE($A$9:$A$200&amp;"""", ""."", """")) = 2), --REGEXMATCH($A$9:$A$200&amp;"""", ""^(1\.|2\.|3\.|"&amp;"4\.1\.)"")), """")"),"")</f>
        <v/>
      </c>
      <c r="N76" s="15" t="str">
        <f>IFERROR(__xludf.DUMMYFUNCTION("IF(AND(LEN(A76&amp;"""")-LEN(SUBSTITUTE(A76&amp;"""", ""."", """")) = 2, REGEXMATCH(A76&amp;"""", ""^(4\.2\.|4\.3\.)"")), 1 / SUMPRODUCT(--(LEN($A$9:$A$200&amp;"""")-LEN(SUBSTITUTE($A$9:$A$200&amp;"""", ""."", """")) = 2), --REGEXMATCH($A$9:$A$200&amp;"""", ""^(4\.2\.|4\.3\.)"")"&amp;"), """")"),"")</f>
        <v/>
      </c>
      <c r="O76" s="15" t="str">
        <f>IFERROR(__xludf.DUMMYFUNCTION("IF(AND(LEN(A76&amp;"""")-LEN(SUBSTITUTE(A76&amp;"""", ""."", """")) = 2, REGEXMATCH(A76&amp;"""", ""^4\.4\."")), 1 / SUMPRODUCT(--(LEN($A$9:$A$200&amp;"""")-LEN(SUBSTITUTE($A$9:$A$200&amp;"""", ""."", """")) = 2), --REGEXMATCH($A$9:$A$200&amp;"""", ""^4\.4\."")), """")"),"")</f>
        <v/>
      </c>
      <c r="P76" s="15" t="str">
        <f>IFERROR(__xludf.DUMMYFUNCTION("IF(AND(LEN(A76&amp;"""")-LEN(SUBSTITUTE(A76&amp;"""", ""."", """")) = 2, REGEXMATCH(A76&amp;"""", ""^4\.5\.[1-3]$"")), 1 / SUMPRODUCT(--(LEN($A$9:$A$200&amp;"""")-LEN(SUBSTITUTE($A$9:$A$200&amp;"""", ""."", """")) = 2), --REGEXMATCH($A$9:$A$200&amp;"""", ""^4\.5\.[1-3]$"")), """&amp;""")"),"")</f>
        <v/>
      </c>
      <c r="Q76" s="15">
        <f>IFERROR(__xludf.DUMMYFUNCTION("IF(AND(LEN(A76&amp;"""")-LEN(SUBSTITUTE(A76&amp;"""", ""."", """")) = 2, REGEXMATCH(A76&amp;"""", ""^(4\.5\.[4-9]$|4\.6\.|5\.)"")), 1 / SUMPRODUCT(--(LEN($A$9:$A$200&amp;"""")-LEN(SUBSTITUTE($A$9:$A$200&amp;"""", ""."", """")) = 2), --REGEXMATCH($A$9:$A$200&amp;"""", ""^(4\.5\.["&amp;"4-9]$|4\.6\.|5\.)"")), """")"),0.05263157894736842)</f>
        <v>0.05263157895</v>
      </c>
      <c r="R76" s="12" t="str">
        <f t="shared" si="1"/>
        <v>febrero 2027</v>
      </c>
      <c r="S76" s="12" t="str">
        <f t="shared" si="2"/>
        <v/>
      </c>
    </row>
    <row r="77">
      <c r="A77" s="46" t="s">
        <v>290</v>
      </c>
      <c r="B77" s="47" t="s">
        <v>291</v>
      </c>
      <c r="C77" s="46"/>
      <c r="D77" s="50">
        <v>46444.0</v>
      </c>
      <c r="E77" s="50">
        <v>46451.0</v>
      </c>
      <c r="F77" s="50"/>
      <c r="G77" s="50"/>
      <c r="H77" s="124"/>
      <c r="I77" s="68">
        <v>0.0</v>
      </c>
      <c r="J77" s="54">
        <f>IFERROR(__xludf.DUMMYFUNCTION("IF(OR(D77="""", E77=""""),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E77 - D77)"),7.0)</f>
        <v>7</v>
      </c>
      <c r="K77" s="55" t="str">
        <f>IFERROR(__xludf.DUMMYFUNCTION("IF(ISNUMBER(F77), IF(ISNUMBER(G77), G77 - F77, TODAY() - F77),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77" s="15" t="str">
        <f>IFERROR(__xludf.DUMMYFUNCTION("IF(AND(LEN(A77&amp;"""")-LEN(SUBSTITUTE(A77&amp;"""", ""."", """")) = 2, REGEXMATCH(A77&amp;"""", ""^(1\.|2\.|3\.|4\.1\.)"")), 1 / SUMPRODUCT(--(LEN($A$9:$A$200&amp;"""")-LEN(SUBSTITUTE($A$9:$A$200&amp;"""", ""."", """")) = 2), --REGEXMATCH($A$9:$A$200&amp;"""", ""^(1\.|2\.|3\.|"&amp;"4\.1\.)"")), """")"),"")</f>
        <v/>
      </c>
      <c r="N77" s="15" t="str">
        <f>IFERROR(__xludf.DUMMYFUNCTION("IF(AND(LEN(A77&amp;"""")-LEN(SUBSTITUTE(A77&amp;"""", ""."", """")) = 2, REGEXMATCH(A77&amp;"""", ""^(4\.2\.|4\.3\.)"")), 1 / SUMPRODUCT(--(LEN($A$9:$A$200&amp;"""")-LEN(SUBSTITUTE($A$9:$A$200&amp;"""", ""."", """")) = 2), --REGEXMATCH($A$9:$A$200&amp;"""", ""^(4\.2\.|4\.3\.)"")"&amp;"), """")"),"")</f>
        <v/>
      </c>
      <c r="O77" s="15" t="str">
        <f>IFERROR(__xludf.DUMMYFUNCTION("IF(AND(LEN(A77&amp;"""")-LEN(SUBSTITUTE(A77&amp;"""", ""."", """")) = 2, REGEXMATCH(A77&amp;"""", ""^4\.4\."")), 1 / SUMPRODUCT(--(LEN($A$9:$A$200&amp;"""")-LEN(SUBSTITUTE($A$9:$A$200&amp;"""", ""."", """")) = 2), --REGEXMATCH($A$9:$A$200&amp;"""", ""^4\.4\."")), """")"),"")</f>
        <v/>
      </c>
      <c r="P77" s="15" t="str">
        <f>IFERROR(__xludf.DUMMYFUNCTION("IF(AND(LEN(A77&amp;"""")-LEN(SUBSTITUTE(A77&amp;"""", ""."", """")) = 2, REGEXMATCH(A77&amp;"""", ""^4\.5\.[1-3]$"")), 1 / SUMPRODUCT(--(LEN($A$9:$A$200&amp;"""")-LEN(SUBSTITUTE($A$9:$A$200&amp;"""", ""."", """")) = 2), --REGEXMATCH($A$9:$A$200&amp;"""", ""^4\.5\.[1-3]$"")), """&amp;""")"),"")</f>
        <v/>
      </c>
      <c r="Q77" s="15">
        <f>IFERROR(__xludf.DUMMYFUNCTION("IF(AND(LEN(A77&amp;"""")-LEN(SUBSTITUTE(A77&amp;"""", ""."", """")) = 2, REGEXMATCH(A77&amp;"""", ""^(4\.5\.[4-9]$|4\.6\.|5\.)"")), 1 / SUMPRODUCT(--(LEN($A$9:$A$200&amp;"""")-LEN(SUBSTITUTE($A$9:$A$200&amp;"""", ""."", """")) = 2), --REGEXMATCH($A$9:$A$200&amp;"""", ""^(4\.5\.["&amp;"4-9]$|4\.6\.|5\.)"")), """")"),0.05263157894736842)</f>
        <v>0.05263157895</v>
      </c>
      <c r="R77" s="12" t="str">
        <f t="shared" si="1"/>
        <v>marzo 2027</v>
      </c>
      <c r="S77" s="12" t="str">
        <f t="shared" si="2"/>
        <v/>
      </c>
    </row>
    <row r="78">
      <c r="A78" s="46" t="s">
        <v>293</v>
      </c>
      <c r="B78" s="47" t="s">
        <v>294</v>
      </c>
      <c r="C78" s="46"/>
      <c r="D78" s="50">
        <v>46448.0</v>
      </c>
      <c r="E78" s="50">
        <v>46451.0</v>
      </c>
      <c r="F78" s="50"/>
      <c r="G78" s="50"/>
      <c r="H78" s="124"/>
      <c r="I78" s="68">
        <v>0.0</v>
      </c>
      <c r="J78" s="54">
        <f>IFERROR(__xludf.DUMMYFUNCTION("IF(OR(D78="""", E78=""""),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E78 - D78)"),3.0)</f>
        <v>3</v>
      </c>
      <c r="K78" s="55" t="str">
        <f>IFERROR(__xludf.DUMMYFUNCTION("IF(ISNUMBER(F78), IF(ISNUMBER(G78), G78 - F78, TODAY() - F78),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78" s="15" t="str">
        <f>IFERROR(__xludf.DUMMYFUNCTION("IF(AND(LEN(A78&amp;"""")-LEN(SUBSTITUTE(A78&amp;"""", ""."", """")) = 2, REGEXMATCH(A78&amp;"""", ""^(1\.|2\.|3\.|4\.1\.)"")), 1 / SUMPRODUCT(--(LEN($A$9:$A$200&amp;"""")-LEN(SUBSTITUTE($A$9:$A$200&amp;"""", ""."", """")) = 2), --REGEXMATCH($A$9:$A$200&amp;"""", ""^(1\.|2\.|3\.|"&amp;"4\.1\.)"")), """")"),"")</f>
        <v/>
      </c>
      <c r="N78" s="15" t="str">
        <f>IFERROR(__xludf.DUMMYFUNCTION("IF(AND(LEN(A78&amp;"""")-LEN(SUBSTITUTE(A78&amp;"""", ""."", """")) = 2, REGEXMATCH(A78&amp;"""", ""^(4\.2\.|4\.3\.)"")), 1 / SUMPRODUCT(--(LEN($A$9:$A$200&amp;"""")-LEN(SUBSTITUTE($A$9:$A$200&amp;"""", ""."", """")) = 2), --REGEXMATCH($A$9:$A$200&amp;"""", ""^(4\.2\.|4\.3\.)"")"&amp;"), """")"),"")</f>
        <v/>
      </c>
      <c r="O78" s="15" t="str">
        <f>IFERROR(__xludf.DUMMYFUNCTION("IF(AND(LEN(A78&amp;"""")-LEN(SUBSTITUTE(A78&amp;"""", ""."", """")) = 2, REGEXMATCH(A78&amp;"""", ""^4\.4\."")), 1 / SUMPRODUCT(--(LEN($A$9:$A$200&amp;"""")-LEN(SUBSTITUTE($A$9:$A$200&amp;"""", ""."", """")) = 2), --REGEXMATCH($A$9:$A$200&amp;"""", ""^4\.4\."")), """")"),"")</f>
        <v/>
      </c>
      <c r="P78" s="15" t="str">
        <f>IFERROR(__xludf.DUMMYFUNCTION("IF(AND(LEN(A78&amp;"""")-LEN(SUBSTITUTE(A78&amp;"""", ""."", """")) = 2, REGEXMATCH(A78&amp;"""", ""^4\.5\.[1-3]$"")), 1 / SUMPRODUCT(--(LEN($A$9:$A$200&amp;"""")-LEN(SUBSTITUTE($A$9:$A$200&amp;"""", ""."", """")) = 2), --REGEXMATCH($A$9:$A$200&amp;"""", ""^4\.5\.[1-3]$"")), """&amp;""")"),"")</f>
        <v/>
      </c>
      <c r="Q78" s="15">
        <f>IFERROR(__xludf.DUMMYFUNCTION("IF(AND(LEN(A78&amp;"""")-LEN(SUBSTITUTE(A78&amp;"""", ""."", """")) = 2, REGEXMATCH(A78&amp;"""", ""^(4\.5\.[4-9]$|4\.6\.|5\.)"")), 1 / SUMPRODUCT(--(LEN($A$9:$A$200&amp;"""")-LEN(SUBSTITUTE($A$9:$A$200&amp;"""", ""."", """")) = 2), --REGEXMATCH($A$9:$A$200&amp;"""", ""^(4\.5\.["&amp;"4-9]$|4\.6\.|5\.)"")), """")"),0.05263157894736842)</f>
        <v>0.05263157895</v>
      </c>
      <c r="R78" s="12" t="str">
        <f t="shared" si="1"/>
        <v>marzo 2027</v>
      </c>
      <c r="S78" s="12" t="str">
        <f t="shared" si="2"/>
        <v/>
      </c>
    </row>
    <row r="79">
      <c r="A79" s="46" t="s">
        <v>296</v>
      </c>
      <c r="B79" s="47" t="s">
        <v>297</v>
      </c>
      <c r="C79" s="46"/>
      <c r="D79" s="50">
        <v>46451.0</v>
      </c>
      <c r="E79" s="50">
        <v>46455.0</v>
      </c>
      <c r="F79" s="50"/>
      <c r="G79" s="50"/>
      <c r="H79" s="124"/>
      <c r="I79" s="68">
        <v>0.0</v>
      </c>
      <c r="J79" s="54">
        <f>IFERROR(__xludf.DUMMYFUNCTION("IF(OR(D79="""", E79=""""),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E79 - D79)"),4.0)</f>
        <v>4</v>
      </c>
      <c r="K79" s="55" t="str">
        <f>IFERROR(__xludf.DUMMYFUNCTION("IF(ISNUMBER(F79), IF(ISNUMBER(G79), G79 - F79, TODAY() - F79),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79" s="15" t="str">
        <f>IFERROR(__xludf.DUMMYFUNCTION("IF(AND(LEN(A79&amp;"""")-LEN(SUBSTITUTE(A79&amp;"""", ""."", """")) = 2, REGEXMATCH(A79&amp;"""", ""^(1\.|2\.|3\.|4\.1\.)"")), 1 / SUMPRODUCT(--(LEN($A$9:$A$200&amp;"""")-LEN(SUBSTITUTE($A$9:$A$200&amp;"""", ""."", """")) = 2), --REGEXMATCH($A$9:$A$200&amp;"""", ""^(1\.|2\.|3\.|"&amp;"4\.1\.)"")), """")"),"")</f>
        <v/>
      </c>
      <c r="N79" s="15" t="str">
        <f>IFERROR(__xludf.DUMMYFUNCTION("IF(AND(LEN(A79&amp;"""")-LEN(SUBSTITUTE(A79&amp;"""", ""."", """")) = 2, REGEXMATCH(A79&amp;"""", ""^(4\.2\.|4\.3\.)"")), 1 / SUMPRODUCT(--(LEN($A$9:$A$200&amp;"""")-LEN(SUBSTITUTE($A$9:$A$200&amp;"""", ""."", """")) = 2), --REGEXMATCH($A$9:$A$200&amp;"""", ""^(4\.2\.|4\.3\.)"")"&amp;"), """")"),"")</f>
        <v/>
      </c>
      <c r="O79" s="15" t="str">
        <f>IFERROR(__xludf.DUMMYFUNCTION("IF(AND(LEN(A79&amp;"""")-LEN(SUBSTITUTE(A79&amp;"""", ""."", """")) = 2, REGEXMATCH(A79&amp;"""", ""^4\.4\."")), 1 / SUMPRODUCT(--(LEN($A$9:$A$200&amp;"""")-LEN(SUBSTITUTE($A$9:$A$200&amp;"""", ""."", """")) = 2), --REGEXMATCH($A$9:$A$200&amp;"""", ""^4\.4\."")), """")"),"")</f>
        <v/>
      </c>
      <c r="P79" s="15" t="str">
        <f>IFERROR(__xludf.DUMMYFUNCTION("IF(AND(LEN(A79&amp;"""")-LEN(SUBSTITUTE(A79&amp;"""", ""."", """")) = 2, REGEXMATCH(A79&amp;"""", ""^4\.5\.[1-3]$"")), 1 / SUMPRODUCT(--(LEN($A$9:$A$200&amp;"""")-LEN(SUBSTITUTE($A$9:$A$200&amp;"""", ""."", """")) = 2), --REGEXMATCH($A$9:$A$200&amp;"""", ""^4\.5\.[1-3]$"")), """&amp;""")"),"")</f>
        <v/>
      </c>
      <c r="Q79" s="15">
        <f>IFERROR(__xludf.DUMMYFUNCTION("IF(AND(LEN(A79&amp;"""")-LEN(SUBSTITUTE(A79&amp;"""", ""."", """")) = 2, REGEXMATCH(A79&amp;"""", ""^(4\.5\.[4-9]$|4\.6\.|5\.)"")), 1 / SUMPRODUCT(--(LEN($A$9:$A$200&amp;"""")-LEN(SUBSTITUTE($A$9:$A$200&amp;"""", ""."", """")) = 2), --REGEXMATCH($A$9:$A$200&amp;"""", ""^(4\.5\.["&amp;"4-9]$|4\.6\.|5\.)"")), """")"),0.05263157894736842)</f>
        <v>0.05263157895</v>
      </c>
      <c r="R79" s="12" t="str">
        <f t="shared" si="1"/>
        <v>marzo 2027</v>
      </c>
      <c r="S79" s="12" t="str">
        <f t="shared" si="2"/>
        <v/>
      </c>
    </row>
    <row r="80">
      <c r="A80" s="46">
        <v>5.2</v>
      </c>
      <c r="B80" s="47" t="s">
        <v>299</v>
      </c>
      <c r="C80" s="46"/>
      <c r="D80" s="50">
        <v>46455.0</v>
      </c>
      <c r="E80" s="50">
        <v>46469.0</v>
      </c>
      <c r="F80" s="50"/>
      <c r="G80" s="50"/>
      <c r="H80" s="124"/>
      <c r="I80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0)"),0.0)</f>
        <v>0</v>
      </c>
      <c r="J80" s="54">
        <f>IFERROR(__xludf.DUMMYFUNCTION("IF(OR(D80="""", E80=""""),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E80 - D80)"),14.0)</f>
        <v>14</v>
      </c>
      <c r="K80" s="55" t="str">
        <f>IFERROR(__xludf.DUMMYFUNCTION("IF(ISNUMBER(F80), IF(ISNUMBER(G80), G80 - F80, TODAY() - F80),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80" s="15" t="str">
        <f>IFERROR(__xludf.DUMMYFUNCTION("IF(AND(LEN(A80&amp;"""")-LEN(SUBSTITUTE(A80&amp;"""", ""."", """")) = 2, REGEXMATCH(A80&amp;"""", ""^(1\.|2\.|3\.|4\.1\.)"")), 1 / SUMPRODUCT(--(LEN($A$9:$A$200&amp;"""")-LEN(SUBSTITUTE($A$9:$A$200&amp;"""", ""."", """")) = 2), --REGEXMATCH($A$9:$A$200&amp;"""", ""^(1\.|2\.|3\.|"&amp;"4\.1\.)"")), """")"),"")</f>
        <v/>
      </c>
      <c r="N80" s="15" t="str">
        <f>IFERROR(__xludf.DUMMYFUNCTION("IF(AND(LEN(A80&amp;"""")-LEN(SUBSTITUTE(A80&amp;"""", ""."", """")) = 2, REGEXMATCH(A80&amp;"""", ""^(4\.2\.|4\.3\.)"")), 1 / SUMPRODUCT(--(LEN($A$9:$A$200&amp;"""")-LEN(SUBSTITUTE($A$9:$A$200&amp;"""", ""."", """")) = 2), --REGEXMATCH($A$9:$A$200&amp;"""", ""^(4\.2\.|4\.3\.)"")"&amp;"), """")"),"")</f>
        <v/>
      </c>
      <c r="O80" s="15" t="str">
        <f>IFERROR(__xludf.DUMMYFUNCTION("IF(AND(LEN(A80&amp;"""")-LEN(SUBSTITUTE(A80&amp;"""", ""."", """")) = 2, REGEXMATCH(A80&amp;"""", ""^4\.4\."")), 1 / SUMPRODUCT(--(LEN($A$9:$A$200&amp;"""")-LEN(SUBSTITUTE($A$9:$A$200&amp;"""", ""."", """")) = 2), --REGEXMATCH($A$9:$A$200&amp;"""", ""^4\.4\."")), """")"),"")</f>
        <v/>
      </c>
      <c r="P80" s="15" t="str">
        <f>IFERROR(__xludf.DUMMYFUNCTION("IF(AND(LEN(A80&amp;"""")-LEN(SUBSTITUTE(A80&amp;"""", ""."", """")) = 2, REGEXMATCH(A80&amp;"""", ""^4\.5\.[1-3]$"")), 1 / SUMPRODUCT(--(LEN($A$9:$A$200&amp;"""")-LEN(SUBSTITUTE($A$9:$A$200&amp;"""", ""."", """")) = 2), --REGEXMATCH($A$9:$A$200&amp;"""", ""^4\.5\.[1-3]$"")), """&amp;""")"),"")</f>
        <v/>
      </c>
      <c r="Q80" s="15" t="str">
        <f>IFERROR(__xludf.DUMMYFUNCTION("IF(AND(LEN(A80&amp;"""")-LEN(SUBSTITUTE(A80&amp;"""", ""."", """")) = 2, REGEXMATCH(A80&amp;"""", ""^(4\.5\.[4-9]$|4\.6\.|5\.)"")), 1 / SUMPRODUCT(--(LEN($A$9:$A$200&amp;"""")-LEN(SUBSTITUTE($A$9:$A$200&amp;"""", ""."", """")) = 2), --REGEXMATCH($A$9:$A$200&amp;"""", ""^(4\.5\.["&amp;"4-9]$|4\.6\.|5\.)"")), """")"),"")</f>
        <v/>
      </c>
      <c r="R80" s="12" t="str">
        <f t="shared" si="1"/>
        <v>marzo 2027</v>
      </c>
      <c r="S80" s="12" t="str">
        <f t="shared" si="2"/>
        <v/>
      </c>
    </row>
    <row r="81">
      <c r="A81" s="46" t="s">
        <v>301</v>
      </c>
      <c r="B81" s="47" t="s">
        <v>302</v>
      </c>
      <c r="C81" s="46"/>
      <c r="D81" s="50">
        <v>46455.0</v>
      </c>
      <c r="E81" s="50">
        <v>46455.0</v>
      </c>
      <c r="F81" s="50"/>
      <c r="G81" s="50"/>
      <c r="H81" s="124"/>
      <c r="I81" s="68">
        <v>0.0</v>
      </c>
      <c r="J81" s="54">
        <f>IFERROR(__xludf.DUMMYFUNCTION("IF(OR(D81="""", E81=""""),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E81 - D81)"),0.0)</f>
        <v>0</v>
      </c>
      <c r="K81" s="55" t="str">
        <f>IFERROR(__xludf.DUMMYFUNCTION("IF(ISNUMBER(F81), IF(ISNUMBER(G81), G81 - F81, TODAY() - F81),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81" s="15" t="str">
        <f>IFERROR(__xludf.DUMMYFUNCTION("IF(AND(LEN(A81&amp;"""")-LEN(SUBSTITUTE(A81&amp;"""", ""."", """")) = 2, REGEXMATCH(A81&amp;"""", ""^(1\.|2\.|3\.|4\.1\.)"")), 1 / SUMPRODUCT(--(LEN($A$9:$A$200&amp;"""")-LEN(SUBSTITUTE($A$9:$A$200&amp;"""", ""."", """")) = 2), --REGEXMATCH($A$9:$A$200&amp;"""", ""^(1\.|2\.|3\.|"&amp;"4\.1\.)"")), """")"),"")</f>
        <v/>
      </c>
      <c r="N81" s="15" t="str">
        <f>IFERROR(__xludf.DUMMYFUNCTION("IF(AND(LEN(A81&amp;"""")-LEN(SUBSTITUTE(A81&amp;"""", ""."", """")) = 2, REGEXMATCH(A81&amp;"""", ""^(4\.2\.|4\.3\.)"")), 1 / SUMPRODUCT(--(LEN($A$9:$A$200&amp;"""")-LEN(SUBSTITUTE($A$9:$A$200&amp;"""", ""."", """")) = 2), --REGEXMATCH($A$9:$A$200&amp;"""", ""^(4\.2\.|4\.3\.)"")"&amp;"), """")"),"")</f>
        <v/>
      </c>
      <c r="O81" s="15" t="str">
        <f>IFERROR(__xludf.DUMMYFUNCTION("IF(AND(LEN(A81&amp;"""")-LEN(SUBSTITUTE(A81&amp;"""", ""."", """")) = 2, REGEXMATCH(A81&amp;"""", ""^4\.4\."")), 1 / SUMPRODUCT(--(LEN($A$9:$A$200&amp;"""")-LEN(SUBSTITUTE($A$9:$A$200&amp;"""", ""."", """")) = 2), --REGEXMATCH($A$9:$A$200&amp;"""", ""^4\.4\."")), """")"),"")</f>
        <v/>
      </c>
      <c r="P81" s="15" t="str">
        <f>IFERROR(__xludf.DUMMYFUNCTION("IF(AND(LEN(A81&amp;"""")-LEN(SUBSTITUTE(A81&amp;"""", ""."", """")) = 2, REGEXMATCH(A81&amp;"""", ""^4\.5\.[1-3]$"")), 1 / SUMPRODUCT(--(LEN($A$9:$A$200&amp;"""")-LEN(SUBSTITUTE($A$9:$A$200&amp;"""", ""."", """")) = 2), --REGEXMATCH($A$9:$A$200&amp;"""", ""^4\.5\.[1-3]$"")), """&amp;""")"),"")</f>
        <v/>
      </c>
      <c r="Q81" s="15">
        <f>IFERROR(__xludf.DUMMYFUNCTION("IF(AND(LEN(A81&amp;"""")-LEN(SUBSTITUTE(A81&amp;"""", ""."", """")) = 2, REGEXMATCH(A81&amp;"""", ""^(4\.5\.[4-9]$|4\.6\.|5\.)"")), 1 / SUMPRODUCT(--(LEN($A$9:$A$200&amp;"""")-LEN(SUBSTITUTE($A$9:$A$200&amp;"""", ""."", """")) = 2), --REGEXMATCH($A$9:$A$200&amp;"""", ""^(4\.5\.["&amp;"4-9]$|4\.6\.|5\.)"")), """")"),0.05263157894736842)</f>
        <v>0.05263157895</v>
      </c>
      <c r="R81" s="12" t="str">
        <f t="shared" si="1"/>
        <v>marzo 2027</v>
      </c>
      <c r="S81" s="12" t="str">
        <f t="shared" si="2"/>
        <v/>
      </c>
      <c r="V81" s="15"/>
    </row>
    <row r="82">
      <c r="A82" s="46" t="s">
        <v>304</v>
      </c>
      <c r="B82" s="47" t="s">
        <v>305</v>
      </c>
      <c r="C82" s="46"/>
      <c r="D82" s="50">
        <v>46455.0</v>
      </c>
      <c r="E82" s="50">
        <v>46457.0</v>
      </c>
      <c r="F82" s="50"/>
      <c r="G82" s="50"/>
      <c r="H82" s="124"/>
      <c r="I82" s="68">
        <v>0.0</v>
      </c>
      <c r="J82" s="54">
        <f>IFERROR(__xludf.DUMMYFUNCTION("IF(OR(D82="""", E82=""""),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E82 - D82)"),2.0)</f>
        <v>2</v>
      </c>
      <c r="K82" s="55" t="str">
        <f>IFERROR(__xludf.DUMMYFUNCTION("IF(ISNUMBER(F82), IF(ISNUMBER(G82), G82 - F82, TODAY() - F82),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82" s="15" t="str">
        <f>IFERROR(__xludf.DUMMYFUNCTION("IF(AND(LEN(A82&amp;"""")-LEN(SUBSTITUTE(A82&amp;"""", ""."", """")) = 2, REGEXMATCH(A82&amp;"""", ""^(1\.|2\.|3\.|4\.1\.)"")), 1 / SUMPRODUCT(--(LEN($A$9:$A$200&amp;"""")-LEN(SUBSTITUTE($A$9:$A$200&amp;"""", ""."", """")) = 2), --REGEXMATCH($A$9:$A$200&amp;"""", ""^(1\.|2\.|3\.|"&amp;"4\.1\.)"")), """")"),"")</f>
        <v/>
      </c>
      <c r="N82" s="15" t="str">
        <f>IFERROR(__xludf.DUMMYFUNCTION("IF(AND(LEN(A82&amp;"""")-LEN(SUBSTITUTE(A82&amp;"""", ""."", """")) = 2, REGEXMATCH(A82&amp;"""", ""^(4\.2\.|4\.3\.)"")), 1 / SUMPRODUCT(--(LEN($A$9:$A$200&amp;"""")-LEN(SUBSTITUTE($A$9:$A$200&amp;"""", ""."", """")) = 2), --REGEXMATCH($A$9:$A$200&amp;"""", ""^(4\.2\.|4\.3\.)"")"&amp;"), """")"),"")</f>
        <v/>
      </c>
      <c r="O82" s="15" t="str">
        <f>IFERROR(__xludf.DUMMYFUNCTION("IF(AND(LEN(A82&amp;"""")-LEN(SUBSTITUTE(A82&amp;"""", ""."", """")) = 2, REGEXMATCH(A82&amp;"""", ""^4\.4\."")), 1 / SUMPRODUCT(--(LEN($A$9:$A$200&amp;"""")-LEN(SUBSTITUTE($A$9:$A$200&amp;"""", ""."", """")) = 2), --REGEXMATCH($A$9:$A$200&amp;"""", ""^4\.4\."")), """")"),"")</f>
        <v/>
      </c>
      <c r="P82" s="15" t="str">
        <f>IFERROR(__xludf.DUMMYFUNCTION("IF(AND(LEN(A82&amp;"""")-LEN(SUBSTITUTE(A82&amp;"""", ""."", """")) = 2, REGEXMATCH(A82&amp;"""", ""^4\.5\.[1-3]$"")), 1 / SUMPRODUCT(--(LEN($A$9:$A$200&amp;"""")-LEN(SUBSTITUTE($A$9:$A$200&amp;"""", ""."", """")) = 2), --REGEXMATCH($A$9:$A$200&amp;"""", ""^4\.5\.[1-3]$"")), """&amp;""")"),"")</f>
        <v/>
      </c>
      <c r="Q82" s="15">
        <f>IFERROR(__xludf.DUMMYFUNCTION("IF(AND(LEN(A82&amp;"""")-LEN(SUBSTITUTE(A82&amp;"""", ""."", """")) = 2, REGEXMATCH(A82&amp;"""", ""^(4\.5\.[4-9]$|4\.6\.|5\.)"")), 1 / SUMPRODUCT(--(LEN($A$9:$A$200&amp;"""")-LEN(SUBSTITUTE($A$9:$A$200&amp;"""", ""."", """")) = 2), --REGEXMATCH($A$9:$A$200&amp;"""", ""^(4\.5\.["&amp;"4-9]$|4\.6\.|5\.)"")), """")"),0.05263157894736842)</f>
        <v>0.05263157895</v>
      </c>
      <c r="R82" s="12" t="str">
        <f t="shared" si="1"/>
        <v>marzo 2027</v>
      </c>
      <c r="S82" s="12" t="str">
        <f t="shared" si="2"/>
        <v/>
      </c>
      <c r="V82" s="15"/>
    </row>
    <row r="83">
      <c r="A83" s="46" t="s">
        <v>306</v>
      </c>
      <c r="B83" s="47" t="s">
        <v>307</v>
      </c>
      <c r="C83" s="46"/>
      <c r="D83" s="50">
        <v>46457.0</v>
      </c>
      <c r="E83" s="50">
        <v>46458.0</v>
      </c>
      <c r="F83" s="50"/>
      <c r="G83" s="50"/>
      <c r="H83" s="124"/>
      <c r="I83" s="68">
        <v>0.0</v>
      </c>
      <c r="J83" s="54">
        <f>IFERROR(__xludf.DUMMYFUNCTION("IF(OR(D83="""", E83=""""),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E83 - D83)"),1.0)</f>
        <v>1</v>
      </c>
      <c r="K83" s="55" t="str">
        <f>IFERROR(__xludf.DUMMYFUNCTION("IF(ISNUMBER(F83), IF(ISNUMBER(G83), G83 - F83, TODAY() - F83),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83" s="15" t="str">
        <f>IFERROR(__xludf.DUMMYFUNCTION("IF(AND(LEN(A83&amp;"""")-LEN(SUBSTITUTE(A83&amp;"""", ""."", """")) = 2, REGEXMATCH(A83&amp;"""", ""^(1\.|2\.|3\.|4\.1\.)"")), 1 / SUMPRODUCT(--(LEN($A$9:$A$200&amp;"""")-LEN(SUBSTITUTE($A$9:$A$200&amp;"""", ""."", """")) = 2), --REGEXMATCH($A$9:$A$200&amp;"""", ""^(1\.|2\.|3\.|"&amp;"4\.1\.)"")), """")"),"")</f>
        <v/>
      </c>
      <c r="N83" s="15" t="str">
        <f>IFERROR(__xludf.DUMMYFUNCTION("IF(AND(LEN(A83&amp;"""")-LEN(SUBSTITUTE(A83&amp;"""", ""."", """")) = 2, REGEXMATCH(A83&amp;"""", ""^(4\.2\.|4\.3\.)"")), 1 / SUMPRODUCT(--(LEN($A$9:$A$200&amp;"""")-LEN(SUBSTITUTE($A$9:$A$200&amp;"""", ""."", """")) = 2), --REGEXMATCH($A$9:$A$200&amp;"""", ""^(4\.2\.|4\.3\.)"")"&amp;"), """")"),"")</f>
        <v/>
      </c>
      <c r="O83" s="15" t="str">
        <f>IFERROR(__xludf.DUMMYFUNCTION("IF(AND(LEN(A83&amp;"""")-LEN(SUBSTITUTE(A83&amp;"""", ""."", """")) = 2, REGEXMATCH(A83&amp;"""", ""^4\.4\."")), 1 / SUMPRODUCT(--(LEN($A$9:$A$200&amp;"""")-LEN(SUBSTITUTE($A$9:$A$200&amp;"""", ""."", """")) = 2), --REGEXMATCH($A$9:$A$200&amp;"""", ""^4\.4\."")), """")"),"")</f>
        <v/>
      </c>
      <c r="P83" s="15" t="str">
        <f>IFERROR(__xludf.DUMMYFUNCTION("IF(AND(LEN(A83&amp;"""")-LEN(SUBSTITUTE(A83&amp;"""", ""."", """")) = 2, REGEXMATCH(A83&amp;"""", ""^4\.5\.[1-3]$"")), 1 / SUMPRODUCT(--(LEN($A$9:$A$200&amp;"""")-LEN(SUBSTITUTE($A$9:$A$200&amp;"""", ""."", """")) = 2), --REGEXMATCH($A$9:$A$200&amp;"""", ""^4\.5\.[1-3]$"")), """&amp;""")"),"")</f>
        <v/>
      </c>
      <c r="Q83" s="15">
        <f>IFERROR(__xludf.DUMMYFUNCTION("IF(AND(LEN(A83&amp;"""")-LEN(SUBSTITUTE(A83&amp;"""", ""."", """")) = 2, REGEXMATCH(A83&amp;"""", ""^(4\.5\.[4-9]$|4\.6\.|5\.)"")), 1 / SUMPRODUCT(--(LEN($A$9:$A$200&amp;"""")-LEN(SUBSTITUTE($A$9:$A$200&amp;"""", ""."", """")) = 2), --REGEXMATCH($A$9:$A$200&amp;"""", ""^(4\.5\.["&amp;"4-9]$|4\.6\.|5\.)"")), """")"),0.05263157894736842)</f>
        <v>0.05263157895</v>
      </c>
      <c r="R83" s="12" t="str">
        <f t="shared" si="1"/>
        <v>marzo 2027</v>
      </c>
      <c r="S83" s="12" t="str">
        <f t="shared" si="2"/>
        <v/>
      </c>
      <c r="V83" s="15"/>
    </row>
    <row r="84">
      <c r="A84" s="46" t="s">
        <v>311</v>
      </c>
      <c r="B84" s="47" t="s">
        <v>312</v>
      </c>
      <c r="C84" s="46"/>
      <c r="D84" s="50">
        <v>46458.0</v>
      </c>
      <c r="E84" s="50">
        <v>46462.0</v>
      </c>
      <c r="F84" s="50"/>
      <c r="G84" s="50"/>
      <c r="H84" s="124"/>
      <c r="I84" s="68">
        <v>0.0</v>
      </c>
      <c r="J84" s="54">
        <f>IFERROR(__xludf.DUMMYFUNCTION("IF(OR(D84="""", E84=""""),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E84 - D84)"),4.0)</f>
        <v>4</v>
      </c>
      <c r="K84" s="55" t="str">
        <f>IFERROR(__xludf.DUMMYFUNCTION("IF(ISNUMBER(F84), IF(ISNUMBER(G84), G84 - F84, TODAY() - F84),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84" s="15" t="str">
        <f>IFERROR(__xludf.DUMMYFUNCTION("IF(AND(LEN(A84&amp;"""")-LEN(SUBSTITUTE(A84&amp;"""", ""."", """")) = 2, REGEXMATCH(A84&amp;"""", ""^(1\.|2\.|3\.|4\.1\.)"")), 1 / SUMPRODUCT(--(LEN($A$9:$A$200&amp;"""")-LEN(SUBSTITUTE($A$9:$A$200&amp;"""", ""."", """")) = 2), --REGEXMATCH($A$9:$A$200&amp;"""", ""^(1\.|2\.|3\.|"&amp;"4\.1\.)"")), """")"),"")</f>
        <v/>
      </c>
      <c r="N84" s="15" t="str">
        <f>IFERROR(__xludf.DUMMYFUNCTION("IF(AND(LEN(A84&amp;"""")-LEN(SUBSTITUTE(A84&amp;"""", ""."", """")) = 2, REGEXMATCH(A84&amp;"""", ""^(4\.2\.|4\.3\.)"")), 1 / SUMPRODUCT(--(LEN($A$9:$A$200&amp;"""")-LEN(SUBSTITUTE($A$9:$A$200&amp;"""", ""."", """")) = 2), --REGEXMATCH($A$9:$A$200&amp;"""", ""^(4\.2\.|4\.3\.)"")"&amp;"), """")"),"")</f>
        <v/>
      </c>
      <c r="O84" s="15" t="str">
        <f>IFERROR(__xludf.DUMMYFUNCTION("IF(AND(LEN(A84&amp;"""")-LEN(SUBSTITUTE(A84&amp;"""", ""."", """")) = 2, REGEXMATCH(A84&amp;"""", ""^4\.4\."")), 1 / SUMPRODUCT(--(LEN($A$9:$A$200&amp;"""")-LEN(SUBSTITUTE($A$9:$A$200&amp;"""", ""."", """")) = 2), --REGEXMATCH($A$9:$A$200&amp;"""", ""^4\.4\."")), """")"),"")</f>
        <v/>
      </c>
      <c r="P84" s="15" t="str">
        <f>IFERROR(__xludf.DUMMYFUNCTION("IF(AND(LEN(A84&amp;"""")-LEN(SUBSTITUTE(A84&amp;"""", ""."", """")) = 2, REGEXMATCH(A84&amp;"""", ""^4\.5\.[1-3]$"")), 1 / SUMPRODUCT(--(LEN($A$9:$A$200&amp;"""")-LEN(SUBSTITUTE($A$9:$A$200&amp;"""", ""."", """")) = 2), --REGEXMATCH($A$9:$A$200&amp;"""", ""^4\.5\.[1-3]$"")), """&amp;""")"),"")</f>
        <v/>
      </c>
      <c r="Q84" s="15">
        <f>IFERROR(__xludf.DUMMYFUNCTION("IF(AND(LEN(A84&amp;"""")-LEN(SUBSTITUTE(A84&amp;"""", ""."", """")) = 2, REGEXMATCH(A84&amp;"""", ""^(4\.5\.[4-9]$|4\.6\.|5\.)"")), 1 / SUMPRODUCT(--(LEN($A$9:$A$200&amp;"""")-LEN(SUBSTITUTE($A$9:$A$200&amp;"""", ""."", """")) = 2), --REGEXMATCH($A$9:$A$200&amp;"""", ""^(4\.5\.["&amp;"4-9]$|4\.6\.|5\.)"")), """")"),0.05263157894736842)</f>
        <v>0.05263157895</v>
      </c>
      <c r="R84" s="12" t="str">
        <f t="shared" si="1"/>
        <v>marzo 2027</v>
      </c>
      <c r="S84" s="12" t="str">
        <f t="shared" si="2"/>
        <v/>
      </c>
      <c r="V84" s="15"/>
    </row>
    <row r="85">
      <c r="A85" s="46" t="s">
        <v>313</v>
      </c>
      <c r="B85" s="47" t="s">
        <v>314</v>
      </c>
      <c r="C85" s="46"/>
      <c r="D85" s="50">
        <v>46462.0</v>
      </c>
      <c r="E85" s="50">
        <v>46469.0</v>
      </c>
      <c r="F85" s="50"/>
      <c r="G85" s="50"/>
      <c r="H85" s="124"/>
      <c r="I85" s="68">
        <v>0.0</v>
      </c>
      <c r="J85" s="54">
        <f>IFERROR(__xludf.DUMMYFUNCTION("IF(OR(D85="""", E85=""""),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E85 - D85)"),7.0)</f>
        <v>7</v>
      </c>
      <c r="K85" s="55" t="str">
        <f>IFERROR(__xludf.DUMMYFUNCTION("IF(ISNUMBER(F85), IF(ISNUMBER(G85), G85 - F85, TODAY() - F85),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85" s="15" t="str">
        <f>IFERROR(__xludf.DUMMYFUNCTION("IF(AND(LEN(A85&amp;"""")-LEN(SUBSTITUTE(A85&amp;"""", ""."", """")) = 2, REGEXMATCH(A85&amp;"""", ""^(1\.|2\.|3\.|4\.1\.)"")), 1 / SUMPRODUCT(--(LEN($A$9:$A$200&amp;"""")-LEN(SUBSTITUTE($A$9:$A$200&amp;"""", ""."", """")) = 2), --REGEXMATCH($A$9:$A$200&amp;"""", ""^(1\.|2\.|3\.|"&amp;"4\.1\.)"")), """")"),"")</f>
        <v/>
      </c>
      <c r="N85" s="15" t="str">
        <f>IFERROR(__xludf.DUMMYFUNCTION("IF(AND(LEN(A85&amp;"""")-LEN(SUBSTITUTE(A85&amp;"""", ""."", """")) = 2, REGEXMATCH(A85&amp;"""", ""^(4\.2\.|4\.3\.)"")), 1 / SUMPRODUCT(--(LEN($A$9:$A$200&amp;"""")-LEN(SUBSTITUTE($A$9:$A$200&amp;"""", ""."", """")) = 2), --REGEXMATCH($A$9:$A$200&amp;"""", ""^(4\.2\.|4\.3\.)"")"&amp;"), """")"),"")</f>
        <v/>
      </c>
      <c r="O85" s="15" t="str">
        <f>IFERROR(__xludf.DUMMYFUNCTION("IF(AND(LEN(A85&amp;"""")-LEN(SUBSTITUTE(A85&amp;"""", ""."", """")) = 2, REGEXMATCH(A85&amp;"""", ""^4\.4\."")), 1 / SUMPRODUCT(--(LEN($A$9:$A$200&amp;"""")-LEN(SUBSTITUTE($A$9:$A$200&amp;"""", ""."", """")) = 2), --REGEXMATCH($A$9:$A$200&amp;"""", ""^4\.4\."")), """")"),"")</f>
        <v/>
      </c>
      <c r="P85" s="15" t="str">
        <f>IFERROR(__xludf.DUMMYFUNCTION("IF(AND(LEN(A85&amp;"""")-LEN(SUBSTITUTE(A85&amp;"""", ""."", """")) = 2, REGEXMATCH(A85&amp;"""", ""^4\.5\.[1-3]$"")), 1 / SUMPRODUCT(--(LEN($A$9:$A$200&amp;"""")-LEN(SUBSTITUTE($A$9:$A$200&amp;"""", ""."", """")) = 2), --REGEXMATCH($A$9:$A$200&amp;"""", ""^4\.5\.[1-3]$"")), """&amp;""")"),"")</f>
        <v/>
      </c>
      <c r="Q85" s="15">
        <f>IFERROR(__xludf.DUMMYFUNCTION("IF(AND(LEN(A85&amp;"""")-LEN(SUBSTITUTE(A85&amp;"""", ""."", """")) = 2, REGEXMATCH(A85&amp;"""", ""^(4\.5\.[4-9]$|4\.6\.|5\.)"")), 1 / SUMPRODUCT(--(LEN($A$9:$A$200&amp;"""")-LEN(SUBSTITUTE($A$9:$A$200&amp;"""", ""."", """")) = 2), --REGEXMATCH($A$9:$A$200&amp;"""", ""^(4\.5\.["&amp;"4-9]$|4\.6\.|5\.)"")), """")"),0.05263157894736842)</f>
        <v>0.05263157895</v>
      </c>
      <c r="R85" s="12" t="str">
        <f t="shared" si="1"/>
        <v>marzo 2027</v>
      </c>
      <c r="S85" s="12" t="str">
        <f t="shared" si="2"/>
        <v/>
      </c>
      <c r="V85" s="15"/>
    </row>
    <row r="86">
      <c r="A86" s="46">
        <v>5.3</v>
      </c>
      <c r="B86" s="47" t="s">
        <v>316</v>
      </c>
      <c r="C86" s="46"/>
      <c r="D86" s="50">
        <v>46469.0</v>
      </c>
      <c r="E86" s="50">
        <v>46476.0</v>
      </c>
      <c r="F86" s="50"/>
      <c r="G86" s="50"/>
      <c r="H86" s="124"/>
      <c r="I86" s="53">
        <f>IFERROR(__xludf.DUMMYFUNCTION("IFERROR(AVERAGE(FILTER(INDIRECT(""I""&amp;(ROW()+1)&amp;"":I1000""), INDIRECT(""A""&amp;(ROW()+1)&amp;"":A1000"")&lt;&gt;"""", LEFT(INDIRECT(""A""&amp;(ROW()+1)&amp;"":A1000""), LEN(TRIM(TO_TEXT(INDIRECT(""A""&amp;ROW()))))+1) = TRIM(TO_TEXT(INDIRECT(""A""&amp;ROW())))&amp;""."", MAP(INDIRECT(""A"&amp;"""&amp;(ROW()+1)&amp;"":A1000""), LAMBDA(nodo, COUNTIF(INDIRECT(""A""&amp;(ROW()+1)&amp;"":A1000""), TO_TEXT(nodo)&amp;"".*"")=0)))), 0)"),0.0)</f>
        <v>0</v>
      </c>
      <c r="J86" s="54">
        <f>IFERROR(__xludf.DUMMYFUNCTION("IF(OR(D86="""", E86=""""),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E86 - D86)"),7.0)</f>
        <v>7</v>
      </c>
      <c r="K86" s="55" t="str">
        <f>IFERROR(__xludf.DUMMYFUNCTION("IF(ISNUMBER(F86), IF(ISNUMBER(G86), G86 - F86, TODAY() - F86),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86" s="15" t="str">
        <f>IFERROR(__xludf.DUMMYFUNCTION("IF(AND(LEN(A86&amp;"""")-LEN(SUBSTITUTE(A86&amp;"""", ""."", """")) = 2, REGEXMATCH(A86&amp;"""", ""^(1\.|2\.|3\.|4\.1\.)"")), 1 / SUMPRODUCT(--(LEN($A$9:$A$200&amp;"""")-LEN(SUBSTITUTE($A$9:$A$200&amp;"""", ""."", """")) = 2), --REGEXMATCH($A$9:$A$200&amp;"""", ""^(1\.|2\.|3\.|"&amp;"4\.1\.)"")), """")"),"")</f>
        <v/>
      </c>
      <c r="N86" s="15" t="str">
        <f>IFERROR(__xludf.DUMMYFUNCTION("IF(AND(LEN(A86&amp;"""")-LEN(SUBSTITUTE(A86&amp;"""", ""."", """")) = 2, REGEXMATCH(A86&amp;"""", ""^(4\.2\.|4\.3\.)"")), 1 / SUMPRODUCT(--(LEN($A$9:$A$200&amp;"""")-LEN(SUBSTITUTE($A$9:$A$200&amp;"""", ""."", """")) = 2), --REGEXMATCH($A$9:$A$200&amp;"""", ""^(4\.2\.|4\.3\.)"")"&amp;"), """")"),"")</f>
        <v/>
      </c>
      <c r="O86" s="15" t="str">
        <f>IFERROR(__xludf.DUMMYFUNCTION("IF(AND(LEN(A86&amp;"""")-LEN(SUBSTITUTE(A86&amp;"""", ""."", """")) = 2, REGEXMATCH(A86&amp;"""", ""^4\.4\."")), 1 / SUMPRODUCT(--(LEN($A$9:$A$200&amp;"""")-LEN(SUBSTITUTE($A$9:$A$200&amp;"""", ""."", """")) = 2), --REGEXMATCH($A$9:$A$200&amp;"""", ""^4\.4\."")), """")"),"")</f>
        <v/>
      </c>
      <c r="P86" s="15" t="str">
        <f>IFERROR(__xludf.DUMMYFUNCTION("IF(AND(LEN(A86&amp;"""")-LEN(SUBSTITUTE(A86&amp;"""", ""."", """")) = 2, REGEXMATCH(A86&amp;"""", ""^4\.5\.[1-3]$"")), 1 / SUMPRODUCT(--(LEN($A$9:$A$200&amp;"""")-LEN(SUBSTITUTE($A$9:$A$200&amp;"""", ""."", """")) = 2), --REGEXMATCH($A$9:$A$200&amp;"""", ""^4\.5\.[1-3]$"")), """&amp;""")"),"")</f>
        <v/>
      </c>
      <c r="Q86" s="15" t="str">
        <f>IFERROR(__xludf.DUMMYFUNCTION("IF(AND(LEN(A86&amp;"""")-LEN(SUBSTITUTE(A86&amp;"""", ""."", """")) = 2, REGEXMATCH(A86&amp;"""", ""^(4\.5\.[4-9]$|4\.6\.|5\.)"")), 1 / SUMPRODUCT(--(LEN($A$9:$A$200&amp;"""")-LEN(SUBSTITUTE($A$9:$A$200&amp;"""", ""."", """")) = 2), --REGEXMATCH($A$9:$A$200&amp;"""", ""^(4\.5\.["&amp;"4-9]$|4\.6\.|5\.)"")), """")"),"")</f>
        <v/>
      </c>
      <c r="R86" s="12" t="str">
        <f t="shared" si="1"/>
        <v>marzo 2027</v>
      </c>
      <c r="S86" s="12" t="str">
        <f t="shared" si="2"/>
        <v/>
      </c>
      <c r="V86" s="15"/>
    </row>
    <row r="87">
      <c r="A87" s="46" t="s">
        <v>317</v>
      </c>
      <c r="B87" s="47" t="s">
        <v>318</v>
      </c>
      <c r="C87" s="46"/>
      <c r="D87" s="50">
        <v>46469.0</v>
      </c>
      <c r="E87" s="50">
        <v>46472.0</v>
      </c>
      <c r="F87" s="50"/>
      <c r="G87" s="50"/>
      <c r="H87" s="124"/>
      <c r="I87" s="68">
        <v>0.0</v>
      </c>
      <c r="J87" s="54">
        <f>IFERROR(__xludf.DUMMYFUNCTION("IF(OR(D87="""", E87=""""),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E87 - D87)"),3.0)</f>
        <v>3</v>
      </c>
      <c r="K87" s="55" t="str">
        <f>IFERROR(__xludf.DUMMYFUNCTION("IF(ISNUMBER(F87), IF(ISNUMBER(G87), G87 - F87, TODAY() - F87),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87" s="15" t="str">
        <f>IFERROR(__xludf.DUMMYFUNCTION("IF(AND(LEN(A87&amp;"""")-LEN(SUBSTITUTE(A87&amp;"""", ""."", """")) = 2, REGEXMATCH(A87&amp;"""", ""^(1\.|2\.|3\.|4\.1\.)"")), 1 / SUMPRODUCT(--(LEN($A$9:$A$200&amp;"""")-LEN(SUBSTITUTE($A$9:$A$200&amp;"""", ""."", """")) = 2), --REGEXMATCH($A$9:$A$200&amp;"""", ""^(1\.|2\.|3\.|"&amp;"4\.1\.)"")), """")"),"")</f>
        <v/>
      </c>
      <c r="N87" s="15" t="str">
        <f>IFERROR(__xludf.DUMMYFUNCTION("IF(AND(LEN(A87&amp;"""")-LEN(SUBSTITUTE(A87&amp;"""", ""."", """")) = 2, REGEXMATCH(A87&amp;"""", ""^(4\.2\.|4\.3\.)"")), 1 / SUMPRODUCT(--(LEN($A$9:$A$200&amp;"""")-LEN(SUBSTITUTE($A$9:$A$200&amp;"""", ""."", """")) = 2), --REGEXMATCH($A$9:$A$200&amp;"""", ""^(4\.2\.|4\.3\.)"")"&amp;"), """")"),"")</f>
        <v/>
      </c>
      <c r="O87" s="15" t="str">
        <f>IFERROR(__xludf.DUMMYFUNCTION("IF(AND(LEN(A87&amp;"""")-LEN(SUBSTITUTE(A87&amp;"""", ""."", """")) = 2, REGEXMATCH(A87&amp;"""", ""^4\.4\."")), 1 / SUMPRODUCT(--(LEN($A$9:$A$200&amp;"""")-LEN(SUBSTITUTE($A$9:$A$200&amp;"""", ""."", """")) = 2), --REGEXMATCH($A$9:$A$200&amp;"""", ""^4\.4\."")), """")"),"")</f>
        <v/>
      </c>
      <c r="P87" s="15" t="str">
        <f>IFERROR(__xludf.DUMMYFUNCTION("IF(AND(LEN(A87&amp;"""")-LEN(SUBSTITUTE(A87&amp;"""", ""."", """")) = 2, REGEXMATCH(A87&amp;"""", ""^4\.5\.[1-3]$"")), 1 / SUMPRODUCT(--(LEN($A$9:$A$200&amp;"""")-LEN(SUBSTITUTE($A$9:$A$200&amp;"""", ""."", """")) = 2), --REGEXMATCH($A$9:$A$200&amp;"""", ""^4\.5\.[1-3]$"")), """&amp;""")"),"")</f>
        <v/>
      </c>
      <c r="Q87" s="15">
        <f>IFERROR(__xludf.DUMMYFUNCTION("IF(AND(LEN(A87&amp;"""")-LEN(SUBSTITUTE(A87&amp;"""", ""."", """")) = 2, REGEXMATCH(A87&amp;"""", ""^(4\.5\.[4-9]$|4\.6\.|5\.)"")), 1 / SUMPRODUCT(--(LEN($A$9:$A$200&amp;"""")-LEN(SUBSTITUTE($A$9:$A$200&amp;"""", ""."", """")) = 2), --REGEXMATCH($A$9:$A$200&amp;"""", ""^(4\.5\.["&amp;"4-9]$|4\.6\.|5\.)"")), """")"),0.05263157894736842)</f>
        <v>0.05263157895</v>
      </c>
      <c r="R87" s="12" t="str">
        <f t="shared" si="1"/>
        <v>marzo 2027</v>
      </c>
      <c r="S87" s="12" t="str">
        <f t="shared" si="2"/>
        <v/>
      </c>
      <c r="V87" s="15"/>
    </row>
    <row r="88">
      <c r="A88" s="46" t="s">
        <v>321</v>
      </c>
      <c r="B88" s="47" t="s">
        <v>322</v>
      </c>
      <c r="C88" s="46"/>
      <c r="D88" s="50">
        <v>46472.0</v>
      </c>
      <c r="E88" s="50">
        <v>46476.0</v>
      </c>
      <c r="F88" s="50"/>
      <c r="G88" s="50"/>
      <c r="H88" s="124"/>
      <c r="I88" s="68">
        <v>0.0</v>
      </c>
      <c r="J88" s="54">
        <f>IFERROR(__xludf.DUMMYFUNCTION("IF(OR(D88="""", E88=""""), IFERROR(MAX(FILTER(INDIRECT(""E""&amp;(ROW()+1)&amp;"":E1000""), LEFT(INDIRECT(""A""&amp;(ROW()+1)&amp;"":A1000""), LEN(TRIM(TO_TEXT(INDIRECT(""A""&amp;ROW()))))+1) = TRIM(TO_TEXT(INDIRECT(""A""&amp;ROW())))&amp;""."")) - MIN(FILTER(INDIRECT(""D""&amp;(ROW()+1"&amp;")&amp;"":D1000""), LEFT(INDIRECT(""A""&amp;(ROW()+1)&amp;"":A1000""), LEN(TRIM(TO_TEXT(INDIRECT(""A""&amp;ROW()))))+1) = TRIM(TO_TEXT(INDIRECT(""A""&amp;ROW())))&amp;""."")), """"), E88 - D88)"),4.0)</f>
        <v>4</v>
      </c>
      <c r="K88" s="55" t="str">
        <f>IFERROR(__xludf.DUMMYFUNCTION("IF(ISNUMBER(F88), IF(ISNUMBER(G88), G88 - F88, TODAY() - F88), IFERROR(IF(COUNT(IFERROR(FILTER(INDIRECT(""F""&amp;(ROW()+1)&amp;"":F1000""), LEFT(INDIRECT(""A""&amp;(ROW()+1)&amp;"":A1000""), LEN(TRIM(TO_TEXT(INDIRECT(""A""&amp;ROW()))))+1) = TRIM(TO_TEXT(INDIRECT(""A""&amp;ROW("&amp;"))))&amp;"".""), """"))=0, """", IF(COUNT(IFERROR(FILTER(INDIRECT(""G""&amp;(ROW()+1)&amp;"":G1000""), LEFT(INDIRECT(""A""&amp;(ROW()+1)&amp;"":A1000""), LEN(TRIM(TO_TEXT(INDIRECT(""A""&amp;ROW()))))+1) = TRIM(TO_TEXT(INDIRECT(""A""&amp;ROW())))&amp;"".""), """")) &lt; COUNT(IFERROR(FILTER"&amp;"(INDIRECT(""D""&amp;(ROW()+1)&amp;"":D1000""), LEFT(INDIRECT(""A""&amp;(ROW()+1)&amp;"":A1000""), LEN(TRIM(TO_TEXT(INDIRECT(""A""&amp;ROW()))))+1) = TRIM(TO_TEXT(INDIRECT(""A""&amp;ROW())))&amp;"".""), """")), TODAY() - MIN(IFERROR(FILTER(INDIRECT(""F""&amp;(ROW()+1)&amp;"":F1000""), LEFT(I"&amp;"NDIRECT(""A""&amp;(ROW()+1)&amp;"":A1000""), LEN(TRIM(TO_TEXT(INDIRECT(""A""&amp;ROW()))))+1) = TRIM(TO_TEXT(INDIRECT(""A""&amp;ROW())))&amp;"".""), """")), MAX(IFERROR(FILTER(INDIRECT(""G""&amp;(ROW()+1)&amp;"":G1000""), LEFT(INDIRECT(""A""&amp;(ROW()+1)&amp;"":A1000""), LEN(TRIM(TO_TEXT(I"&amp;"NDIRECT(""A""&amp;ROW()))))+1) = TRIM(TO_TEXT(INDIRECT(""A""&amp;ROW())))&amp;"".""), """")) - MIN(IFERROR(FILTER(INDIRECT(""F""&amp;(ROW()+1)&amp;"":F1000""), LEFT(INDIRECT(""A""&amp;(ROW()+1)&amp;"":A1000""), LEN(TRIM(TO_TEXT(INDIRECT(""A""&amp;ROW()))))+1) = TRIM(TO_TEXT(INDIRECT(""A"&amp;"""&amp;ROW())))&amp;"".""), """")))), """"))"),"")</f>
        <v/>
      </c>
      <c r="M88" s="15" t="str">
        <f>IFERROR(__xludf.DUMMYFUNCTION("IF(AND(LEN(A88&amp;"""")-LEN(SUBSTITUTE(A88&amp;"""", ""."", """")) = 2, REGEXMATCH(A88&amp;"""", ""^(1\.|2\.|3\.|4\.1\.)"")), 1 / SUMPRODUCT(--(LEN($A$9:$A$200&amp;"""")-LEN(SUBSTITUTE($A$9:$A$200&amp;"""", ""."", """")) = 2), --REGEXMATCH($A$9:$A$200&amp;"""", ""^(1\.|2\.|3\.|"&amp;"4\.1\.)"")), """")"),"")</f>
        <v/>
      </c>
      <c r="N88" s="15" t="str">
        <f>IFERROR(__xludf.DUMMYFUNCTION("IF(AND(LEN(A88&amp;"""")-LEN(SUBSTITUTE(A88&amp;"""", ""."", """")) = 2, REGEXMATCH(A88&amp;"""", ""^(4\.2\.|4\.3\.)"")), 1 / SUMPRODUCT(--(LEN($A$9:$A$200&amp;"""")-LEN(SUBSTITUTE($A$9:$A$200&amp;"""", ""."", """")) = 2), --REGEXMATCH($A$9:$A$200&amp;"""", ""^(4\.2\.|4\.3\.)"")"&amp;"), """")"),"")</f>
        <v/>
      </c>
      <c r="O88" s="15" t="str">
        <f>IFERROR(__xludf.DUMMYFUNCTION("IF(AND(LEN(A88&amp;"""")-LEN(SUBSTITUTE(A88&amp;"""", ""."", """")) = 2, REGEXMATCH(A88&amp;"""", ""^4\.4\."")), 1 / SUMPRODUCT(--(LEN($A$9:$A$200&amp;"""")-LEN(SUBSTITUTE($A$9:$A$200&amp;"""", ""."", """")) = 2), --REGEXMATCH($A$9:$A$200&amp;"""", ""^4\.4\."")), """")"),"")</f>
        <v/>
      </c>
      <c r="P88" s="15" t="str">
        <f>IFERROR(__xludf.DUMMYFUNCTION("IF(AND(LEN(A88&amp;"""")-LEN(SUBSTITUTE(A88&amp;"""", ""."", """")) = 2, REGEXMATCH(A88&amp;"""", ""^4\.5\.[1-3]$"")), 1 / SUMPRODUCT(--(LEN($A$9:$A$200&amp;"""")-LEN(SUBSTITUTE($A$9:$A$200&amp;"""", ""."", """")) = 2), --REGEXMATCH($A$9:$A$200&amp;"""", ""^4\.5\.[1-3]$"")), """&amp;""")"),"")</f>
        <v/>
      </c>
      <c r="Q88" s="15">
        <f>IFERROR(__xludf.DUMMYFUNCTION("IF(AND(LEN(A88&amp;"""")-LEN(SUBSTITUTE(A88&amp;"""", ""."", """")) = 2, REGEXMATCH(A88&amp;"""", ""^(4\.5\.[4-9]$|4\.6\.|5\.)"")), 1 / SUMPRODUCT(--(LEN($A$9:$A$200&amp;"""")-LEN(SUBSTITUTE($A$9:$A$200&amp;"""", ""."", """")) = 2), --REGEXMATCH($A$9:$A$200&amp;"""", ""^(4\.5\.["&amp;"4-9]$|4\.6\.|5\.)"")), """")"),0.05263157894736842)</f>
        <v>0.05263157895</v>
      </c>
      <c r="R88" s="12" t="str">
        <f t="shared" si="1"/>
        <v>marzo 2027</v>
      </c>
      <c r="S88" s="12" t="str">
        <f t="shared" si="2"/>
        <v/>
      </c>
      <c r="V88" s="15"/>
    </row>
    <row r="89">
      <c r="A89" s="135"/>
      <c r="B89" s="136"/>
      <c r="C89" s="137"/>
      <c r="D89" s="138"/>
      <c r="E89" s="138"/>
      <c r="F89" s="139"/>
      <c r="G89" s="139"/>
      <c r="H89" s="54"/>
      <c r="I89" s="68"/>
      <c r="J89" s="54"/>
      <c r="K89" s="55"/>
      <c r="M89" s="15" t="str">
        <f>IFERROR(__xludf.DUMMYFUNCTION("IF(AND(LEN(A89&amp;"""")-LEN(SUBSTITUTE(A89&amp;"""", ""."", """")) = 2, REGEXMATCH(A89&amp;"""", ""^(1\.|2\.|3\.|4\.1\.)"")), 1 / SUMPRODUCT(--(LEN($A$9:$A$200&amp;"""")-LEN(SUBSTITUTE($A$9:$A$200&amp;"""", ""."", """")) = 2), --REGEXMATCH($A$9:$A$200&amp;"""", ""^(1\.|2\.|3\.|"&amp;"4\.1\.)"")), """")"),"")</f>
        <v/>
      </c>
      <c r="N89" s="15" t="str">
        <f>IFERROR(__xludf.DUMMYFUNCTION("IF(AND(LEN(A89&amp;"""")-LEN(SUBSTITUTE(A89&amp;"""", ""."", """")) = 2, REGEXMATCH(A89&amp;"""", ""^(4\.2\.|4\.3\.)"")), 1 / SUMPRODUCT(--(LEN($A$9:$A$200&amp;"""")-LEN(SUBSTITUTE($A$9:$A$200&amp;"""", ""."", """")) = 2), --REGEXMATCH($A$9:$A$200&amp;"""", ""^(4\.2\.|4\.3\.)"")"&amp;"), """")"),"")</f>
        <v/>
      </c>
      <c r="O89" s="15" t="str">
        <f>IFERROR(__xludf.DUMMYFUNCTION("IF(AND(LEN(A89&amp;"""")-LEN(SUBSTITUTE(A89&amp;"""", ""."", """")) = 2, REGEXMATCH(A89&amp;"""", ""^4\.4\."")), 1 / SUMPRODUCT(--(LEN($A$9:$A$200&amp;"""")-LEN(SUBSTITUTE($A$9:$A$200&amp;"""", ""."", """")) = 2), --REGEXMATCH($A$9:$A$200&amp;"""", ""^4\.4\."")), """")"),"")</f>
        <v/>
      </c>
      <c r="P89" s="15" t="str">
        <f>IFERROR(__xludf.DUMMYFUNCTION("IF(AND(LEN(A89&amp;"""")-LEN(SUBSTITUTE(A89&amp;"""", ""."", """")) = 2, REGEXMATCH(A89&amp;"""", ""^4\.5\.[1-3]$"")), 1 / SUMPRODUCT(--(LEN($A$9:$A$200&amp;"""")-LEN(SUBSTITUTE($A$9:$A$200&amp;"""", ""."", """")) = 2), --REGEXMATCH($A$9:$A$200&amp;"""", ""^4\.5\.[1-3]$"")), """&amp;""")"),"")</f>
        <v/>
      </c>
      <c r="Q89" s="15" t="str">
        <f>IFERROR(__xludf.DUMMYFUNCTION("IF(AND(LEN(A89&amp;"""")-LEN(SUBSTITUTE(A89&amp;"""", ""."", """")) = 2, REGEXMATCH(A89&amp;"""", ""^(4\.5\.[4-9]$|4\.6\.|5\.)"")), 1 / SUMPRODUCT(--(LEN($A$9:$A$200&amp;"""")-LEN(SUBSTITUTE($A$9:$A$200&amp;"""", ""."", """")) = 2), --REGEXMATCH($A$9:$A$200&amp;"""", ""^(4\.5\.["&amp;"4-9]$|4\.6\.|5\.)"")), """")"),"")</f>
        <v/>
      </c>
      <c r="R89" s="12" t="str">
        <f t="shared" si="1"/>
        <v/>
      </c>
      <c r="S89" s="12" t="str">
        <f t="shared" si="2"/>
        <v/>
      </c>
      <c r="V89" s="15"/>
    </row>
    <row r="90">
      <c r="A90" s="135"/>
      <c r="B90" s="136"/>
      <c r="C90" s="137"/>
      <c r="D90" s="138"/>
      <c r="E90" s="138"/>
      <c r="F90" s="139"/>
      <c r="G90" s="139"/>
      <c r="H90" s="54"/>
      <c r="I90" s="68"/>
      <c r="J90" s="54"/>
      <c r="K90" s="55"/>
      <c r="M90" s="15" t="str">
        <f>IFERROR(__xludf.DUMMYFUNCTION("IF(AND(LEN(A90&amp;"""")-LEN(SUBSTITUTE(A90&amp;"""", ""."", """")) = 2, REGEXMATCH(A90&amp;"""", ""^(1\.|2\.|3\.|4\.1\.)"")), 1 / SUMPRODUCT(--(LEN($A$9:$A$200&amp;"""")-LEN(SUBSTITUTE($A$9:$A$200&amp;"""", ""."", """")) = 2), --REGEXMATCH($A$9:$A$200&amp;"""", ""^(1\.|2\.|3\.|"&amp;"4\.1\.)"")), """")"),"")</f>
        <v/>
      </c>
      <c r="N90" s="15" t="str">
        <f>IFERROR(__xludf.DUMMYFUNCTION("IF(AND(LEN(A90&amp;"""")-LEN(SUBSTITUTE(A90&amp;"""", ""."", """")) = 2, REGEXMATCH(A90&amp;"""", ""^(4\.2\.|4\.3\.)"")), 1 / SUMPRODUCT(--(LEN($A$9:$A$200&amp;"""")-LEN(SUBSTITUTE($A$9:$A$200&amp;"""", ""."", """")) = 2), --REGEXMATCH($A$9:$A$200&amp;"""", ""^(4\.2\.|4\.3\.)"")"&amp;"), """")"),"")</f>
        <v/>
      </c>
      <c r="O90" s="15" t="str">
        <f>IFERROR(__xludf.DUMMYFUNCTION("IF(AND(LEN(A90&amp;"""")-LEN(SUBSTITUTE(A90&amp;"""", ""."", """")) = 2, REGEXMATCH(A90&amp;"""", ""^4\.4\."")), 1 / SUMPRODUCT(--(LEN($A$9:$A$200&amp;"""")-LEN(SUBSTITUTE($A$9:$A$200&amp;"""", ""."", """")) = 2), --REGEXMATCH($A$9:$A$200&amp;"""", ""^4\.4\."")), """")"),"")</f>
        <v/>
      </c>
      <c r="P90" s="15" t="str">
        <f>IFERROR(__xludf.DUMMYFUNCTION("IF(AND(LEN(A90&amp;"""")-LEN(SUBSTITUTE(A90&amp;"""", ""."", """")) = 2, REGEXMATCH(A90&amp;"""", ""^4\.5\.[1-3]$"")), 1 / SUMPRODUCT(--(LEN($A$9:$A$200&amp;"""")-LEN(SUBSTITUTE($A$9:$A$200&amp;"""", ""."", """")) = 2), --REGEXMATCH($A$9:$A$200&amp;"""", ""^4\.5\.[1-3]$"")), """&amp;""")"),"")</f>
        <v/>
      </c>
      <c r="Q90" s="15" t="str">
        <f>IFERROR(__xludf.DUMMYFUNCTION("IF(AND(LEN(A90&amp;"""")-LEN(SUBSTITUTE(A90&amp;"""", ""."", """")) = 2, REGEXMATCH(A90&amp;"""", ""^(4\.5\.[4-9]$|4\.6\.|5\.)"")), 1 / SUMPRODUCT(--(LEN($A$9:$A$200&amp;"""")-LEN(SUBSTITUTE($A$9:$A$200&amp;"""", ""."", """")) = 2), --REGEXMATCH($A$9:$A$200&amp;"""", ""^(4\.5\.["&amp;"4-9]$|4\.6\.|5\.)"")), """")"),"")</f>
        <v/>
      </c>
      <c r="R90" s="12" t="str">
        <f t="shared" si="1"/>
        <v/>
      </c>
      <c r="S90" s="12" t="str">
        <f t="shared" si="2"/>
        <v/>
      </c>
      <c r="V90" s="15"/>
    </row>
    <row r="91">
      <c r="A91" s="135"/>
      <c r="B91" s="136"/>
      <c r="C91" s="137"/>
      <c r="D91" s="138"/>
      <c r="E91" s="138"/>
      <c r="F91" s="139"/>
      <c r="G91" s="139"/>
      <c r="H91" s="54"/>
      <c r="I91" s="68"/>
      <c r="J91" s="54"/>
      <c r="K91" s="55"/>
      <c r="M91" s="15" t="str">
        <f>IFERROR(__xludf.DUMMYFUNCTION("IF(AND(LEN(A91&amp;"""")-LEN(SUBSTITUTE(A91&amp;"""", ""."", """")) = 2, REGEXMATCH(A91&amp;"""", ""^(1\.|2\.|3\.|4\.1\.)"")), 1 / SUMPRODUCT(--(LEN($A$9:$A$200&amp;"""")-LEN(SUBSTITUTE($A$9:$A$200&amp;"""", ""."", """")) = 2), --REGEXMATCH($A$9:$A$200&amp;"""", ""^(1\.|2\.|3\.|"&amp;"4\.1\.)"")), """")"),"")</f>
        <v/>
      </c>
      <c r="N91" s="15" t="str">
        <f>IFERROR(__xludf.DUMMYFUNCTION("IF(AND(LEN(A91&amp;"""")-LEN(SUBSTITUTE(A91&amp;"""", ""."", """")) = 2, REGEXMATCH(A91&amp;"""", ""^(4\.2\.|4\.3\.)"")), 1 / SUMPRODUCT(--(LEN($A$9:$A$200&amp;"""")-LEN(SUBSTITUTE($A$9:$A$200&amp;"""", ""."", """")) = 2), --REGEXMATCH($A$9:$A$200&amp;"""", ""^(4\.2\.|4\.3\.)"")"&amp;"), """")"),"")</f>
        <v/>
      </c>
      <c r="O91" s="15" t="str">
        <f>IFERROR(__xludf.DUMMYFUNCTION("IF(AND(LEN(A91&amp;"""")-LEN(SUBSTITUTE(A91&amp;"""", ""."", """")) = 2, REGEXMATCH(A91&amp;"""", ""^4\.4\."")), 1 / SUMPRODUCT(--(LEN($A$9:$A$200&amp;"""")-LEN(SUBSTITUTE($A$9:$A$200&amp;"""", ""."", """")) = 2), --REGEXMATCH($A$9:$A$200&amp;"""", ""^4\.4\."")), """")"),"")</f>
        <v/>
      </c>
      <c r="P91" s="15" t="str">
        <f>IFERROR(__xludf.DUMMYFUNCTION("IF(AND(LEN(A91&amp;"""")-LEN(SUBSTITUTE(A91&amp;"""", ""."", """")) = 2, REGEXMATCH(A91&amp;"""", ""^4\.5\.[1-3]$"")), 1 / SUMPRODUCT(--(LEN($A$9:$A$200&amp;"""")-LEN(SUBSTITUTE($A$9:$A$200&amp;"""", ""."", """")) = 2), --REGEXMATCH($A$9:$A$200&amp;"""", ""^4\.5\.[1-3]$"")), """&amp;""")"),"")</f>
        <v/>
      </c>
      <c r="Q91" s="15" t="str">
        <f>IFERROR(__xludf.DUMMYFUNCTION("IF(AND(LEN(A91&amp;"""")-LEN(SUBSTITUTE(A91&amp;"""", ""."", """")) = 2, REGEXMATCH(A91&amp;"""", ""^(4\.5\.[4-9]$|4\.6\.|5\.)"")), 1 / SUMPRODUCT(--(LEN($A$9:$A$200&amp;"""")-LEN(SUBSTITUTE($A$9:$A$200&amp;"""", ""."", """")) = 2), --REGEXMATCH($A$9:$A$200&amp;"""", ""^(4\.5\.["&amp;"4-9]$|4\.6\.|5\.)"")), """")"),"")</f>
        <v/>
      </c>
      <c r="R91" s="12" t="str">
        <f t="shared" si="1"/>
        <v/>
      </c>
      <c r="S91" s="12" t="str">
        <f t="shared" si="2"/>
        <v/>
      </c>
    </row>
    <row r="92">
      <c r="A92" s="135"/>
      <c r="B92" s="136"/>
      <c r="C92" s="137"/>
      <c r="D92" s="138"/>
      <c r="E92" s="138"/>
      <c r="F92" s="139"/>
      <c r="G92" s="139"/>
      <c r="H92" s="54"/>
      <c r="I92" s="68"/>
      <c r="J92" s="54"/>
      <c r="K92" s="55"/>
      <c r="M92" s="15" t="str">
        <f>IFERROR(__xludf.DUMMYFUNCTION("IF(AND(LEN(A92&amp;"""")-LEN(SUBSTITUTE(A92&amp;"""", ""."", """")) = 2, REGEXMATCH(A92&amp;"""", ""^(1\.|2\.|3\.|4\.1\.)"")), 1 / SUMPRODUCT(--(LEN($A$9:$A$200&amp;"""")-LEN(SUBSTITUTE($A$9:$A$200&amp;"""", ""."", """")) = 2), --REGEXMATCH($A$9:$A$200&amp;"""", ""^(1\.|2\.|3\.|"&amp;"4\.1\.)"")), """")"),"")</f>
        <v/>
      </c>
      <c r="N92" s="15" t="str">
        <f>IFERROR(__xludf.DUMMYFUNCTION("IF(AND(LEN(A92&amp;"""")-LEN(SUBSTITUTE(A92&amp;"""", ""."", """")) = 2, REGEXMATCH(A92&amp;"""", ""^(4\.2\.|4\.3\.)"")), 1 / SUMPRODUCT(--(LEN($A$9:$A$200&amp;"""")-LEN(SUBSTITUTE($A$9:$A$200&amp;"""", ""."", """")) = 2), --REGEXMATCH($A$9:$A$200&amp;"""", ""^(4\.2\.|4\.3\.)"")"&amp;"), """")"),"")</f>
        <v/>
      </c>
      <c r="O92" s="15" t="str">
        <f>IFERROR(__xludf.DUMMYFUNCTION("IF(AND(LEN(A92&amp;"""")-LEN(SUBSTITUTE(A92&amp;"""", ""."", """")) = 2, REGEXMATCH(A92&amp;"""", ""^4\.4\."")), 1 / SUMPRODUCT(--(LEN($A$9:$A$200&amp;"""")-LEN(SUBSTITUTE($A$9:$A$200&amp;"""", ""."", """")) = 2), --REGEXMATCH($A$9:$A$200&amp;"""", ""^4\.4\."")), """")"),"")</f>
        <v/>
      </c>
      <c r="P92" s="15" t="str">
        <f>IFERROR(__xludf.DUMMYFUNCTION("IF(AND(LEN(A92&amp;"""")-LEN(SUBSTITUTE(A92&amp;"""", ""."", """")) = 2, REGEXMATCH(A92&amp;"""", ""^4\.5\.[1-3]$"")), 1 / SUMPRODUCT(--(LEN($A$9:$A$200&amp;"""")-LEN(SUBSTITUTE($A$9:$A$200&amp;"""", ""."", """")) = 2), --REGEXMATCH($A$9:$A$200&amp;"""", ""^4\.5\.[1-3]$"")), """&amp;""")"),"")</f>
        <v/>
      </c>
      <c r="Q92" s="15" t="str">
        <f>IFERROR(__xludf.DUMMYFUNCTION("IF(AND(LEN(A92&amp;"""")-LEN(SUBSTITUTE(A92&amp;"""", ""."", """")) = 2, REGEXMATCH(A92&amp;"""", ""^(4\.5\.[4-9]$|4\.6\.|5\.)"")), 1 / SUMPRODUCT(--(LEN($A$9:$A$200&amp;"""")-LEN(SUBSTITUTE($A$9:$A$200&amp;"""", ""."", """")) = 2), --REGEXMATCH($A$9:$A$200&amp;"""", ""^(4\.5\.["&amp;"4-9]$|4\.6\.|5\.)"")), """")"),"")</f>
        <v/>
      </c>
      <c r="R92" s="12" t="str">
        <f t="shared" si="1"/>
        <v/>
      </c>
      <c r="S92" s="12" t="str">
        <f t="shared" si="2"/>
        <v/>
      </c>
    </row>
    <row r="93">
      <c r="A93" s="135"/>
      <c r="B93" s="136"/>
      <c r="C93" s="137"/>
      <c r="D93" s="138"/>
      <c r="E93" s="138"/>
      <c r="F93" s="139"/>
      <c r="G93" s="139"/>
      <c r="H93" s="54"/>
      <c r="I93" s="140"/>
      <c r="J93" s="54"/>
      <c r="K93" s="55"/>
      <c r="M93" s="15" t="str">
        <f>IFERROR(__xludf.DUMMYFUNCTION("IF(AND(LEN(A93&amp;"""")-LEN(SUBSTITUTE(A93&amp;"""", ""."", """")) = 2, REGEXMATCH(A93&amp;"""", ""^(1\.|2\.|3\.|4\.1\.)"")), 1 / SUMPRODUCT(--(LEN($A$9:$A$200&amp;"""")-LEN(SUBSTITUTE($A$9:$A$200&amp;"""", ""."", """")) = 2), --REGEXMATCH($A$9:$A$200&amp;"""", ""^(1\.|2\.|3\.|"&amp;"4\.1\.)"")), """")"),"")</f>
        <v/>
      </c>
      <c r="N93" s="15" t="str">
        <f>IFERROR(__xludf.DUMMYFUNCTION("IF(AND(LEN(A93&amp;"""")-LEN(SUBSTITUTE(A93&amp;"""", ""."", """")) = 2, REGEXMATCH(A93&amp;"""", ""^(4\.2\.|4\.3\.)"")), 1 / SUMPRODUCT(--(LEN($A$9:$A$200&amp;"""")-LEN(SUBSTITUTE($A$9:$A$200&amp;"""", ""."", """")) = 2), --REGEXMATCH($A$9:$A$200&amp;"""", ""^(4\.2\.|4\.3\.)"")"&amp;"), """")"),"")</f>
        <v/>
      </c>
      <c r="O93" s="15" t="str">
        <f>IFERROR(__xludf.DUMMYFUNCTION("IF(AND(LEN(A93&amp;"""")-LEN(SUBSTITUTE(A93&amp;"""", ""."", """")) = 2, REGEXMATCH(A93&amp;"""", ""^4\.4\."")), 1 / SUMPRODUCT(--(LEN($A$9:$A$200&amp;"""")-LEN(SUBSTITUTE($A$9:$A$200&amp;"""", ""."", """")) = 2), --REGEXMATCH($A$9:$A$200&amp;"""", ""^4\.4\."")), """")"),"")</f>
        <v/>
      </c>
      <c r="P93" s="15" t="str">
        <f>IFERROR(__xludf.DUMMYFUNCTION("IF(AND(LEN(A93&amp;"""")-LEN(SUBSTITUTE(A93&amp;"""", ""."", """")) = 2, REGEXMATCH(A93&amp;"""", ""^4\.5\.[1-3]$"")), 1 / SUMPRODUCT(--(LEN($A$9:$A$200&amp;"""")-LEN(SUBSTITUTE($A$9:$A$200&amp;"""", ""."", """")) = 2), --REGEXMATCH($A$9:$A$200&amp;"""", ""^4\.5\.[1-3]$"")), """&amp;""")"),"")</f>
        <v/>
      </c>
      <c r="Q93" s="15" t="str">
        <f>IFERROR(__xludf.DUMMYFUNCTION("IF(AND(LEN(A93&amp;"""")-LEN(SUBSTITUTE(A93&amp;"""", ""."", """")) = 2, REGEXMATCH(A93&amp;"""", ""^(4\.5\.[4-9]$|4\.6\.|5\.)"")), 1 / SUMPRODUCT(--(LEN($A$9:$A$200&amp;"""")-LEN(SUBSTITUTE($A$9:$A$200&amp;"""", ""."", """")) = 2), --REGEXMATCH($A$9:$A$200&amp;"""", ""^(4\.5\.["&amp;"4-9]$|4\.6\.|5\.)"")), """")"),"")</f>
        <v/>
      </c>
      <c r="R93" s="12" t="str">
        <f t="shared" si="1"/>
        <v/>
      </c>
      <c r="S93" s="12" t="str">
        <f t="shared" si="2"/>
        <v/>
      </c>
    </row>
  </sheetData>
  <mergeCells count="1">
    <mergeCell ref="D3:I3"/>
  </mergeCells>
  <conditionalFormatting sqref="K9:K88">
    <cfRule type="expression" dxfId="5" priority="1">
      <formula>AND(ISNUMBER($E11), OR(AND(NOT(ISNUMBER($G11)), $E11&lt;TODAY()), AND(ISNUMBER($G11), $G11&gt;$E11)))</formula>
    </cfRule>
  </conditionalFormatting>
  <conditionalFormatting sqref="E9:E93 F57:F59 G57:G58">
    <cfRule type="expression" dxfId="5" priority="2">
      <formula>AND(ISNUMBER($E9), OR(AND(NOT(ISNUMBER($G9)), $E9&lt;TODAY()), AND(ISNUMBER($G9), $G9&gt;$E9)))</formula>
    </cfRule>
  </conditionalFormatting>
  <conditionalFormatting sqref="I9:I93">
    <cfRule type="expression" dxfId="6" priority="3">
      <formula>AND(LEN(TRIM(TO_TEXT($A9)))-LEN(SUBSTITUTE(TRIM(TO_TEXT($A9)),".",""))=2, $I9&gt;=1)</formula>
    </cfRule>
  </conditionalFormatting>
  <conditionalFormatting sqref="I9:I93">
    <cfRule type="expression" dxfId="7" priority="4">
      <formula>AND(LEN(TRIM(TO_TEXT($A9)))-LEN(SUBSTITUTE(TRIM(TO_TEXT($A9)),".",""))=2, $I9&gt;0, $I9&lt;1)</formula>
    </cfRule>
  </conditionalFormatting>
  <conditionalFormatting sqref="I9:I93">
    <cfRule type="expression" dxfId="8" priority="5">
      <formula>AND(LEN(TRIM(TO_TEXT($A9)))-LEN(SUBSTITUTE(TRIM(TO_TEXT($A9)),".",""))=2, ISNUMBER($I9), $I9=0)</formula>
    </cfRule>
  </conditionalFormatting>
  <conditionalFormatting sqref="A9:K93">
    <cfRule type="expression" dxfId="9" priority="6">
      <formula>LEN(TO_TEXT($A9)) - LEN(SUBSTITUTE(TO_TEXT($A9), ".", "")) = 2</formula>
    </cfRule>
  </conditionalFormatting>
  <conditionalFormatting sqref="A9:K93">
    <cfRule type="expression" dxfId="10" priority="7">
      <formula>AND(LEN(TO_TEXT($A9)) - LEN(SUBSTITUTE(TO_TEXT($A9), ".", "")) = 0, OR($A9=3, $A9="3"))</formula>
    </cfRule>
  </conditionalFormatting>
  <conditionalFormatting sqref="A9:K93">
    <cfRule type="expression" dxfId="11" priority="8">
      <formula>AND(LEN(TO_TEXT($A9)) - LEN(SUBSTITUTE(TO_TEXT($A9), ".", "")) = 0, OR($A9=2, $A9="2"))</formula>
    </cfRule>
  </conditionalFormatting>
  <conditionalFormatting sqref="A9:K93">
    <cfRule type="expression" dxfId="12" priority="9">
      <formula>AND(LEN(TO_TEXT($A9)) - LEN(SUBSTITUTE(TO_TEXT($A9), ".", "")) = 0, OR($A9=5, $A9="5"))</formula>
    </cfRule>
  </conditionalFormatting>
  <conditionalFormatting sqref="A9:K93">
    <cfRule type="expression" dxfId="13" priority="10">
      <formula>AND(LEN(TO_TEXT($A9)) - LEN(SUBSTITUTE(TO_TEXT($A9), ".", "")) = 0, OR($A9=4, $A9="4"))</formula>
    </cfRule>
  </conditionalFormatting>
  <conditionalFormatting sqref="A9:K93">
    <cfRule type="expression" dxfId="14" priority="11">
      <formula>AND(LEN(TO_TEXT($A9)) - LEN(SUBSTITUTE(TO_TEXT($A9), ".", "")) = 0, OR($A9=1, $A9="1"))</formula>
    </cfRule>
  </conditionalFormatting>
  <conditionalFormatting sqref="A9:K93">
    <cfRule type="expression" dxfId="15" priority="12">
      <formula>AND(LEFT(TRIM(TO_TEXT($A9)), 2)="1.", LEN(TRIM(TO_TEXT($A9))) - LEN(SUBSTITUTE(TRIM(TO_TEXT($A9)), ".", "")) = 1)</formula>
    </cfRule>
  </conditionalFormatting>
  <conditionalFormatting sqref="A9:K93">
    <cfRule type="expression" dxfId="16" priority="13">
      <formula>AND(LEFT(TRIM(TO_TEXT($A9)), 2)="5.", LEN(TRIM(TO_TEXT($A9))) - LEN(SUBSTITUTE(TRIM(TO_TEXT($A9)), ".", "")) = 1)</formula>
    </cfRule>
  </conditionalFormatting>
  <conditionalFormatting sqref="A9:K93">
    <cfRule type="expression" dxfId="17" priority="14">
      <formula>AND(LEFT(TRIM(TO_TEXT($A9)), 2)="4.", LEN(TRIM(TO_TEXT($A9))) - LEN(SUBSTITUTE(TRIM(TO_TEXT($A9)), ".", "")) = 1)</formula>
    </cfRule>
  </conditionalFormatting>
  <conditionalFormatting sqref="A9:K93">
    <cfRule type="expression" dxfId="18" priority="15">
      <formula>AND(LEFT(TRIM(TO_TEXT($A9)), 2)="3.", LEN(TRIM(TO_TEXT($A9))) - LEN(SUBSTITUTE(TRIM(TO_TEXT($A9)), ".", "")) = 1)</formula>
    </cfRule>
  </conditionalFormatting>
  <conditionalFormatting sqref="A9:K93">
    <cfRule type="expression" dxfId="19" priority="16">
      <formula>AND(LEFT(TRIM(TO_TEXT($A9)), 2)="2.", LEN(TRIM(TO_TEXT($A9))) - LEN(SUBSTITUTE(TRIM(TO_TEXT($A9)), ".", "")) = 1)</formula>
    </cfRule>
  </conditionalFormatting>
  <hyperlinks>
    <hyperlink r:id="rId1" ref="B5"/>
    <hyperlink r:id="rId2" ref="C9"/>
    <hyperlink r:id="rId3" ref="C10"/>
    <hyperlink r:id="rId4" ref="C11"/>
    <hyperlink r:id="rId5" ref="C12"/>
    <hyperlink r:id="rId6" ref="C13"/>
    <hyperlink r:id="rId7" ref="C14"/>
    <hyperlink r:id="rId8" ref="C16"/>
    <hyperlink r:id="rId9" ref="C17"/>
    <hyperlink r:id="rId10" ref="C18"/>
    <hyperlink r:id="rId11" ref="C19"/>
    <hyperlink r:id="rId12" ref="C20"/>
    <hyperlink r:id="rId13" ref="C21"/>
    <hyperlink r:id="rId14" ref="C22"/>
    <hyperlink r:id="rId15" ref="C23"/>
    <hyperlink r:id="rId16" ref="C24"/>
    <hyperlink r:id="rId17" ref="C25"/>
    <hyperlink r:id="rId18" ref="C26"/>
    <hyperlink r:id="rId19" ref="C27"/>
    <hyperlink r:id="rId20" ref="C28"/>
    <hyperlink r:id="rId21" ref="C29"/>
    <hyperlink r:id="rId22" ref="C30"/>
    <hyperlink r:id="rId23" ref="C31"/>
    <hyperlink r:id="rId24" ref="C32"/>
    <hyperlink r:id="rId25" ref="C33"/>
    <hyperlink r:id="rId26" ref="C34"/>
    <hyperlink r:id="rId27" ref="C35"/>
    <hyperlink r:id="rId28" ref="C36"/>
    <hyperlink r:id="rId29" ref="C37"/>
    <hyperlink r:id="rId30" ref="C38"/>
    <hyperlink r:id="rId31" ref="C39"/>
    <hyperlink r:id="rId32" ref="C40"/>
    <hyperlink r:id="rId33" ref="C41"/>
    <hyperlink r:id="rId34" ref="C42"/>
    <hyperlink r:id="rId35" ref="C43"/>
    <hyperlink r:id="rId36" ref="C44"/>
    <hyperlink r:id="rId37" ref="C45"/>
    <hyperlink r:id="rId38" ref="C46"/>
  </hyperlinks>
  <drawing r:id="rId39"/>
  <tableParts count="1">
    <tablePart r:id="rId4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95.63"/>
    <col customWidth="1" min="3" max="5" width="15.13"/>
    <col customWidth="1" min="6" max="6" width="19.0"/>
    <col customWidth="1" min="7" max="7" width="17.25"/>
    <col customWidth="1" min="8" max="8" width="19.0"/>
    <col customWidth="1" min="9" max="9" width="17.25"/>
    <col customWidth="1" min="10" max="10" width="20.13"/>
    <col customWidth="1" min="11" max="11" width="22.63"/>
    <col customWidth="1" min="12" max="12" width="59.13"/>
    <col customWidth="1" min="13" max="13" width="11.38"/>
  </cols>
  <sheetData>
    <row r="1" ht="22.5" customHeight="1">
      <c r="A1" s="10" t="s">
        <v>1</v>
      </c>
      <c r="B1" s="10" t="s">
        <v>5</v>
      </c>
      <c r="C1" s="10" t="s">
        <v>8</v>
      </c>
      <c r="D1" s="16" t="s">
        <v>10</v>
      </c>
      <c r="E1" s="10" t="s">
        <v>13</v>
      </c>
      <c r="F1" s="20" t="s">
        <v>15</v>
      </c>
      <c r="G1" s="20" t="s">
        <v>18</v>
      </c>
      <c r="H1" s="20" t="s">
        <v>20</v>
      </c>
      <c r="I1" s="20" t="s">
        <v>23</v>
      </c>
      <c r="J1" s="10" t="s">
        <v>25</v>
      </c>
      <c r="K1" s="10" t="s">
        <v>26</v>
      </c>
      <c r="L1" s="10" t="s">
        <v>27</v>
      </c>
      <c r="M1" s="10" t="s">
        <v>28</v>
      </c>
    </row>
    <row r="2" ht="40.5" customHeight="1">
      <c r="A2" s="27">
        <v>1.0</v>
      </c>
      <c r="B2" s="29" t="s">
        <v>30</v>
      </c>
      <c r="C2" s="30" t="s">
        <v>31</v>
      </c>
      <c r="D2" s="36" t="s">
        <v>32</v>
      </c>
      <c r="E2" s="30" t="s">
        <v>40</v>
      </c>
      <c r="F2" s="41">
        <v>46156.0</v>
      </c>
      <c r="G2" s="41">
        <v>46167.0</v>
      </c>
      <c r="H2" s="41">
        <v>46167.0</v>
      </c>
      <c r="I2" s="41">
        <v>46167.0</v>
      </c>
      <c r="J2" s="45" t="s">
        <v>53</v>
      </c>
      <c r="K2" s="48"/>
      <c r="L2" s="29" t="s">
        <v>57</v>
      </c>
      <c r="M2" s="52"/>
    </row>
    <row r="3" ht="40.5" customHeight="1">
      <c r="A3" s="27">
        <v>2.0</v>
      </c>
      <c r="B3" s="29" t="s">
        <v>60</v>
      </c>
      <c r="C3" s="30" t="s">
        <v>61</v>
      </c>
      <c r="D3" s="36" t="s">
        <v>32</v>
      </c>
      <c r="E3" s="30" t="s">
        <v>40</v>
      </c>
      <c r="F3" s="41">
        <v>46148.0</v>
      </c>
      <c r="G3" s="41">
        <v>46148.0</v>
      </c>
      <c r="H3" s="41">
        <v>46148.0</v>
      </c>
      <c r="I3" s="41">
        <v>46148.0</v>
      </c>
      <c r="J3" s="45" t="s">
        <v>63</v>
      </c>
      <c r="K3" s="48"/>
      <c r="L3" s="29" t="s">
        <v>64</v>
      </c>
      <c r="M3" s="52"/>
    </row>
    <row r="4" ht="40.5" customHeight="1">
      <c r="A4" s="27">
        <v>3.0</v>
      </c>
      <c r="B4" s="29" t="s">
        <v>71</v>
      </c>
      <c r="C4" s="30" t="s">
        <v>72</v>
      </c>
      <c r="D4" s="36" t="s">
        <v>32</v>
      </c>
      <c r="E4" s="30" t="s">
        <v>40</v>
      </c>
      <c r="F4" s="41">
        <v>46156.0</v>
      </c>
      <c r="G4" s="41">
        <v>46157.0</v>
      </c>
      <c r="H4" s="41">
        <v>46171.0</v>
      </c>
      <c r="I4" s="41">
        <v>46171.0</v>
      </c>
      <c r="J4" s="45" t="s">
        <v>53</v>
      </c>
      <c r="K4" s="48"/>
      <c r="L4" s="29" t="s">
        <v>76</v>
      </c>
      <c r="M4" s="52"/>
    </row>
    <row r="5" ht="40.5" customHeight="1">
      <c r="A5" s="27">
        <v>4.0</v>
      </c>
      <c r="B5" s="29" t="s">
        <v>83</v>
      </c>
      <c r="C5" s="30" t="s">
        <v>72</v>
      </c>
      <c r="D5" s="74" t="s">
        <v>32</v>
      </c>
      <c r="E5" s="30" t="s">
        <v>40</v>
      </c>
      <c r="F5" s="41">
        <v>46150.0</v>
      </c>
      <c r="G5" s="75">
        <v>46150.0</v>
      </c>
      <c r="H5" s="41">
        <v>46150.0</v>
      </c>
      <c r="I5" s="41">
        <v>46150.0</v>
      </c>
      <c r="J5" s="45" t="s">
        <v>53</v>
      </c>
      <c r="K5" s="48"/>
      <c r="L5" s="29"/>
      <c r="M5" s="52"/>
    </row>
    <row r="6" ht="40.5" customHeight="1">
      <c r="A6" s="27">
        <v>5.0</v>
      </c>
      <c r="B6" s="79" t="s">
        <v>92</v>
      </c>
      <c r="C6" s="30" t="s">
        <v>72</v>
      </c>
      <c r="D6" s="74" t="s">
        <v>32</v>
      </c>
      <c r="E6" s="30" t="s">
        <v>40</v>
      </c>
      <c r="F6" s="41">
        <v>46153.0</v>
      </c>
      <c r="G6" s="41">
        <v>46153.0</v>
      </c>
      <c r="H6" s="41">
        <v>46153.0</v>
      </c>
      <c r="I6" s="41">
        <v>46153.0</v>
      </c>
      <c r="J6" s="45" t="s">
        <v>53</v>
      </c>
      <c r="K6" s="48"/>
      <c r="L6" s="29"/>
      <c r="M6" s="52"/>
    </row>
    <row r="7" ht="40.5" customHeight="1">
      <c r="A7" s="27">
        <v>6.0</v>
      </c>
      <c r="B7" s="29" t="s">
        <v>98</v>
      </c>
      <c r="C7" s="30" t="s">
        <v>72</v>
      </c>
      <c r="D7" s="74" t="s">
        <v>32</v>
      </c>
      <c r="E7" s="30" t="s">
        <v>40</v>
      </c>
      <c r="F7" s="41">
        <v>46154.0</v>
      </c>
      <c r="G7" s="75">
        <v>46175.0</v>
      </c>
      <c r="H7" s="41">
        <v>46154.0</v>
      </c>
      <c r="I7" s="41">
        <v>46171.0</v>
      </c>
      <c r="J7" s="45" t="s">
        <v>53</v>
      </c>
      <c r="K7" s="48"/>
      <c r="L7" s="29"/>
      <c r="M7" s="52"/>
    </row>
    <row r="8" ht="40.5" customHeight="1">
      <c r="A8" s="27">
        <v>7.0</v>
      </c>
      <c r="B8" s="29" t="s">
        <v>103</v>
      </c>
      <c r="C8" s="30" t="s">
        <v>72</v>
      </c>
      <c r="D8" s="84" t="s">
        <v>32</v>
      </c>
      <c r="E8" s="30" t="s">
        <v>40</v>
      </c>
      <c r="F8" s="41">
        <v>46175.0</v>
      </c>
      <c r="G8" s="75">
        <v>46175.0</v>
      </c>
      <c r="H8" s="41">
        <v>46175.0</v>
      </c>
      <c r="I8" s="41">
        <v>46175.0</v>
      </c>
      <c r="J8" s="45" t="s">
        <v>53</v>
      </c>
      <c r="K8" s="48"/>
      <c r="L8" s="29"/>
      <c r="M8" s="52"/>
    </row>
    <row r="9" ht="40.5" customHeight="1">
      <c r="A9" s="27">
        <v>8.0</v>
      </c>
      <c r="B9" s="85" t="s">
        <v>107</v>
      </c>
      <c r="C9" s="30" t="s">
        <v>72</v>
      </c>
      <c r="D9" s="84" t="s">
        <v>32</v>
      </c>
      <c r="E9" s="30" t="s">
        <v>40</v>
      </c>
      <c r="F9" s="41">
        <v>46176.0</v>
      </c>
      <c r="G9" s="75">
        <v>46183.0</v>
      </c>
      <c r="H9" s="41">
        <v>46176.0</v>
      </c>
      <c r="I9" s="41">
        <v>46183.0</v>
      </c>
      <c r="J9" s="45" t="s">
        <v>53</v>
      </c>
      <c r="K9" s="48"/>
      <c r="L9" s="29"/>
      <c r="M9" s="52"/>
    </row>
    <row r="10" ht="40.5" customHeight="1">
      <c r="A10" s="27">
        <v>9.0</v>
      </c>
      <c r="B10" s="85" t="s">
        <v>111</v>
      </c>
      <c r="C10" s="30" t="s">
        <v>72</v>
      </c>
      <c r="D10" s="84" t="s">
        <v>32</v>
      </c>
      <c r="E10" s="30" t="s">
        <v>40</v>
      </c>
      <c r="F10" s="41">
        <v>46189.0</v>
      </c>
      <c r="G10" s="75">
        <v>46189.0</v>
      </c>
      <c r="H10" s="41">
        <v>46189.0</v>
      </c>
      <c r="I10" s="41">
        <v>46189.0</v>
      </c>
      <c r="J10" s="45" t="s">
        <v>53</v>
      </c>
      <c r="K10" s="48"/>
      <c r="L10" s="29"/>
      <c r="M10" s="52"/>
    </row>
    <row r="11" ht="40.5" customHeight="1">
      <c r="A11" s="27">
        <v>10.0</v>
      </c>
      <c r="B11" s="29" t="s">
        <v>114</v>
      </c>
      <c r="C11" s="30" t="s">
        <v>72</v>
      </c>
      <c r="D11" s="84" t="s">
        <v>32</v>
      </c>
      <c r="E11" s="30" t="s">
        <v>40</v>
      </c>
      <c r="F11" s="41">
        <v>46190.0</v>
      </c>
      <c r="G11" s="75">
        <v>46196.0</v>
      </c>
      <c r="H11" s="41">
        <v>46190.0</v>
      </c>
      <c r="I11" s="41">
        <v>46196.0</v>
      </c>
      <c r="J11" s="45" t="s">
        <v>53</v>
      </c>
      <c r="K11" s="48"/>
      <c r="L11" s="29"/>
      <c r="M11" s="52"/>
    </row>
    <row r="12" ht="40.5" customHeight="1">
      <c r="A12" s="27">
        <v>11.0</v>
      </c>
      <c r="B12" s="29" t="s">
        <v>115</v>
      </c>
      <c r="C12" s="30" t="s">
        <v>72</v>
      </c>
      <c r="D12" s="84" t="s">
        <v>32</v>
      </c>
      <c r="E12" s="30" t="s">
        <v>40</v>
      </c>
      <c r="F12" s="41">
        <v>46223.0</v>
      </c>
      <c r="G12" s="75">
        <v>46223.0</v>
      </c>
      <c r="H12" s="41">
        <v>46225.0</v>
      </c>
      <c r="I12" s="41">
        <v>46225.0</v>
      </c>
      <c r="J12" s="45" t="s">
        <v>53</v>
      </c>
      <c r="K12" s="48"/>
      <c r="L12" s="29"/>
      <c r="M12" s="52"/>
    </row>
    <row r="13" ht="40.5" customHeight="1">
      <c r="A13" s="27">
        <v>12.0</v>
      </c>
      <c r="B13" s="29" t="s">
        <v>126</v>
      </c>
      <c r="C13" s="30" t="s">
        <v>72</v>
      </c>
      <c r="D13" s="36" t="s">
        <v>32</v>
      </c>
      <c r="E13" s="30" t="s">
        <v>40</v>
      </c>
      <c r="F13" s="41">
        <v>46156.0</v>
      </c>
      <c r="G13" s="41">
        <v>46171.0</v>
      </c>
      <c r="H13" s="41">
        <v>46171.0</v>
      </c>
      <c r="I13" s="41">
        <v>46171.0</v>
      </c>
      <c r="J13" s="45" t="s">
        <v>53</v>
      </c>
      <c r="K13" s="48"/>
      <c r="L13" s="29" t="s">
        <v>132</v>
      </c>
      <c r="M13" s="52"/>
    </row>
    <row r="14" ht="40.5" customHeight="1">
      <c r="A14" s="27">
        <v>13.0</v>
      </c>
      <c r="B14" s="29" t="s">
        <v>136</v>
      </c>
      <c r="C14" s="30" t="s">
        <v>72</v>
      </c>
      <c r="D14" s="36" t="s">
        <v>32</v>
      </c>
      <c r="E14" s="30" t="s">
        <v>40</v>
      </c>
      <c r="F14" s="41">
        <v>46175.0</v>
      </c>
      <c r="G14" s="75">
        <v>46225.0</v>
      </c>
      <c r="H14" s="41">
        <v>46223.0</v>
      </c>
      <c r="I14" s="41">
        <v>46225.0</v>
      </c>
      <c r="J14" s="45" t="s">
        <v>53</v>
      </c>
      <c r="K14" s="48"/>
      <c r="L14" s="29" t="s">
        <v>137</v>
      </c>
      <c r="M14" s="52"/>
    </row>
    <row r="15" ht="40.5" customHeight="1">
      <c r="A15" s="27">
        <v>14.0</v>
      </c>
      <c r="B15" s="29" t="s">
        <v>141</v>
      </c>
      <c r="C15" s="90" t="s">
        <v>72</v>
      </c>
      <c r="D15" s="36" t="s">
        <v>32</v>
      </c>
      <c r="E15" s="91" t="s">
        <v>40</v>
      </c>
      <c r="F15" s="41">
        <v>46225.0</v>
      </c>
      <c r="G15" s="41">
        <v>46252.0</v>
      </c>
      <c r="H15" s="41">
        <v>46234.0</v>
      </c>
      <c r="I15" s="41">
        <v>46241.0</v>
      </c>
      <c r="J15" s="45" t="s">
        <v>53</v>
      </c>
      <c r="K15" s="48"/>
      <c r="L15" s="29"/>
      <c r="M15" s="52"/>
    </row>
    <row r="16" ht="40.5" customHeight="1">
      <c r="A16" s="27">
        <v>15.0</v>
      </c>
      <c r="B16" s="29" t="s">
        <v>147</v>
      </c>
      <c r="C16" s="30" t="s">
        <v>72</v>
      </c>
      <c r="D16" s="36" t="s">
        <v>100</v>
      </c>
      <c r="E16" s="30" t="s">
        <v>40</v>
      </c>
      <c r="F16" s="41">
        <v>46216.0</v>
      </c>
      <c r="G16" s="41">
        <v>46238.0</v>
      </c>
      <c r="H16" s="41">
        <v>46238.0</v>
      </c>
      <c r="I16" s="41">
        <v>46238.0</v>
      </c>
      <c r="J16" s="45" t="s">
        <v>53</v>
      </c>
      <c r="K16" s="48"/>
      <c r="L16" s="29" t="s">
        <v>149</v>
      </c>
      <c r="M16" s="52"/>
    </row>
    <row r="17" ht="40.5" customHeight="1">
      <c r="A17" s="27">
        <v>16.0</v>
      </c>
      <c r="B17" s="29" t="s">
        <v>153</v>
      </c>
      <c r="C17" s="30" t="s">
        <v>72</v>
      </c>
      <c r="D17" s="36" t="s">
        <v>32</v>
      </c>
      <c r="E17" s="30" t="s">
        <v>40</v>
      </c>
      <c r="F17" s="41">
        <v>46234.0</v>
      </c>
      <c r="G17" s="75">
        <v>46234.0</v>
      </c>
      <c r="H17" s="41">
        <v>46234.0</v>
      </c>
      <c r="I17" s="41">
        <v>46241.0</v>
      </c>
      <c r="J17" s="45" t="s">
        <v>53</v>
      </c>
      <c r="K17" s="48"/>
      <c r="L17" s="29"/>
      <c r="M17" s="52"/>
    </row>
    <row r="18" ht="40.5" customHeight="1">
      <c r="A18" s="27">
        <v>17.0</v>
      </c>
      <c r="B18" s="29" t="s">
        <v>156</v>
      </c>
      <c r="C18" s="30" t="s">
        <v>31</v>
      </c>
      <c r="D18" s="36" t="s">
        <v>157</v>
      </c>
      <c r="E18" s="30" t="s">
        <v>40</v>
      </c>
      <c r="F18" s="41">
        <v>46238.0</v>
      </c>
      <c r="G18" s="41">
        <v>46239.0</v>
      </c>
      <c r="H18" s="41">
        <v>46240.0</v>
      </c>
      <c r="I18" s="41">
        <v>46262.0</v>
      </c>
      <c r="J18" s="27" t="s">
        <v>160</v>
      </c>
      <c r="K18" s="48"/>
      <c r="L18" s="93"/>
      <c r="M18" s="94"/>
    </row>
    <row r="19" ht="40.5" customHeight="1">
      <c r="A19" s="27">
        <v>18.0</v>
      </c>
      <c r="B19" s="29" t="s">
        <v>162</v>
      </c>
      <c r="C19" s="30" t="s">
        <v>31</v>
      </c>
      <c r="D19" s="36" t="s">
        <v>163</v>
      </c>
      <c r="E19" s="30" t="s">
        <v>40</v>
      </c>
      <c r="F19" s="41">
        <v>46238.0</v>
      </c>
      <c r="G19" s="41">
        <v>46239.0</v>
      </c>
      <c r="H19" s="41">
        <v>46240.0</v>
      </c>
      <c r="I19" s="41">
        <v>46262.0</v>
      </c>
      <c r="J19" s="27" t="s">
        <v>160</v>
      </c>
      <c r="K19" s="48"/>
      <c r="L19" s="93"/>
      <c r="M19" s="94"/>
    </row>
    <row r="20" ht="40.5" customHeight="1">
      <c r="A20" s="27">
        <v>19.0</v>
      </c>
      <c r="B20" s="29" t="s">
        <v>166</v>
      </c>
      <c r="C20" s="30" t="s">
        <v>31</v>
      </c>
      <c r="D20" s="36" t="s">
        <v>32</v>
      </c>
      <c r="E20" s="30" t="s">
        <v>40</v>
      </c>
      <c r="F20" s="41">
        <v>46241.0</v>
      </c>
      <c r="G20" s="41">
        <v>46241.0</v>
      </c>
      <c r="H20" s="41">
        <v>46241.0</v>
      </c>
      <c r="I20" s="41">
        <v>46241.0</v>
      </c>
      <c r="J20" s="27" t="s">
        <v>160</v>
      </c>
      <c r="K20" s="48"/>
      <c r="L20" s="93"/>
      <c r="M20" s="94"/>
    </row>
    <row r="21" ht="40.5" customHeight="1">
      <c r="A21" s="27">
        <v>20.0</v>
      </c>
      <c r="B21" s="29" t="s">
        <v>171</v>
      </c>
      <c r="C21" s="30" t="s">
        <v>72</v>
      </c>
      <c r="D21" s="36" t="s">
        <v>32</v>
      </c>
      <c r="E21" s="30" t="s">
        <v>40</v>
      </c>
      <c r="F21" s="41">
        <v>46244.0</v>
      </c>
      <c r="G21" s="41">
        <v>46244.0</v>
      </c>
      <c r="H21" s="41">
        <v>46244.0</v>
      </c>
      <c r="I21" s="41">
        <v>46244.0</v>
      </c>
      <c r="J21" s="27" t="s">
        <v>160</v>
      </c>
      <c r="K21" s="48"/>
      <c r="L21" s="93"/>
      <c r="M21" s="94"/>
    </row>
    <row r="22" ht="40.5" customHeight="1">
      <c r="A22" s="27">
        <v>21.0</v>
      </c>
      <c r="B22" s="29" t="s">
        <v>173</v>
      </c>
      <c r="C22" s="30" t="s">
        <v>61</v>
      </c>
      <c r="D22" s="36" t="s">
        <v>32</v>
      </c>
      <c r="E22" s="30" t="s">
        <v>40</v>
      </c>
      <c r="F22" s="41">
        <v>46244.0</v>
      </c>
      <c r="G22" s="41">
        <v>46244.0</v>
      </c>
      <c r="H22" s="41">
        <v>46245.0</v>
      </c>
      <c r="I22" s="41">
        <v>46249.0</v>
      </c>
      <c r="J22" s="27" t="s">
        <v>160</v>
      </c>
      <c r="K22" s="48"/>
      <c r="L22" s="93"/>
      <c r="M22" s="94"/>
    </row>
    <row r="23" ht="40.5" customHeight="1">
      <c r="A23" s="27">
        <v>22.0</v>
      </c>
      <c r="B23" s="29" t="s">
        <v>177</v>
      </c>
      <c r="C23" s="30" t="s">
        <v>72</v>
      </c>
      <c r="D23" s="36" t="s">
        <v>32</v>
      </c>
      <c r="E23" s="30" t="s">
        <v>40</v>
      </c>
      <c r="F23" s="41">
        <v>46245.0</v>
      </c>
      <c r="G23" s="41">
        <v>46245.0</v>
      </c>
      <c r="H23" s="41">
        <v>46245.0</v>
      </c>
      <c r="I23" s="41">
        <v>46245.0</v>
      </c>
      <c r="J23" s="27" t="s">
        <v>160</v>
      </c>
      <c r="K23" s="48"/>
      <c r="L23" s="93"/>
      <c r="M23" s="94"/>
    </row>
    <row r="24" ht="40.5" customHeight="1">
      <c r="A24" s="27">
        <v>23.0</v>
      </c>
      <c r="B24" s="29" t="s">
        <v>191</v>
      </c>
      <c r="C24" s="30" t="s">
        <v>72</v>
      </c>
      <c r="D24" s="36" t="s">
        <v>32</v>
      </c>
      <c r="E24" s="30" t="s">
        <v>40</v>
      </c>
      <c r="F24" s="41">
        <v>46252.0</v>
      </c>
      <c r="G24" s="102">
        <v>46253.0</v>
      </c>
      <c r="H24" s="41">
        <v>46253.0</v>
      </c>
      <c r="I24" s="41">
        <v>46253.0</v>
      </c>
      <c r="J24" s="27" t="s">
        <v>63</v>
      </c>
      <c r="K24" s="48"/>
      <c r="L24" s="93"/>
      <c r="M24" s="94"/>
    </row>
    <row r="25" ht="40.5" customHeight="1">
      <c r="A25" s="27">
        <v>24.0</v>
      </c>
      <c r="B25" s="29" t="s">
        <v>199</v>
      </c>
      <c r="C25" s="30" t="s">
        <v>61</v>
      </c>
      <c r="D25" s="36" t="s">
        <v>157</v>
      </c>
      <c r="E25" s="30" t="s">
        <v>40</v>
      </c>
      <c r="F25" s="41">
        <v>46260.0</v>
      </c>
      <c r="G25" s="102">
        <v>46262.0</v>
      </c>
      <c r="H25" s="41">
        <v>46268.0</v>
      </c>
      <c r="I25" s="41">
        <v>46266.0</v>
      </c>
      <c r="J25" s="27" t="s">
        <v>63</v>
      </c>
      <c r="K25" s="48"/>
      <c r="L25" s="93"/>
      <c r="M25" s="94"/>
    </row>
    <row r="26" ht="40.5" customHeight="1">
      <c r="A26" s="27">
        <v>25.0</v>
      </c>
      <c r="B26" s="29" t="s">
        <v>204</v>
      </c>
      <c r="C26" s="30" t="s">
        <v>61</v>
      </c>
      <c r="D26" s="36" t="s">
        <v>205</v>
      </c>
      <c r="E26" s="30" t="s">
        <v>40</v>
      </c>
      <c r="F26" s="41">
        <v>46265.0</v>
      </c>
      <c r="G26" s="41">
        <v>46265.0</v>
      </c>
      <c r="H26" s="41">
        <v>46265.0</v>
      </c>
      <c r="I26" s="41">
        <v>46265.0</v>
      </c>
      <c r="J26" s="27" t="s">
        <v>160</v>
      </c>
      <c r="K26" s="48"/>
      <c r="L26" s="93"/>
      <c r="M26" s="94"/>
    </row>
    <row r="27" ht="40.5" customHeight="1">
      <c r="A27" s="27">
        <v>26.0</v>
      </c>
      <c r="B27" s="29" t="s">
        <v>210</v>
      </c>
      <c r="C27" s="30" t="s">
        <v>61</v>
      </c>
      <c r="D27" s="74" t="s">
        <v>205</v>
      </c>
      <c r="E27" s="30" t="s">
        <v>40</v>
      </c>
      <c r="F27" s="41">
        <v>46252.0</v>
      </c>
      <c r="G27" s="41">
        <v>46262.0</v>
      </c>
      <c r="H27" s="41">
        <v>46262.0</v>
      </c>
      <c r="I27" s="41">
        <v>46262.0</v>
      </c>
      <c r="J27" s="45" t="s">
        <v>53</v>
      </c>
      <c r="K27" s="48"/>
      <c r="L27" s="29" t="s">
        <v>212</v>
      </c>
      <c r="M27" s="52"/>
    </row>
    <row r="28" ht="40.5" customHeight="1">
      <c r="A28" s="27">
        <v>27.0</v>
      </c>
      <c r="B28" s="29" t="s">
        <v>215</v>
      </c>
      <c r="C28" s="30" t="s">
        <v>61</v>
      </c>
      <c r="D28" s="36" t="s">
        <v>163</v>
      </c>
      <c r="E28" s="30" t="s">
        <v>40</v>
      </c>
      <c r="F28" s="41">
        <v>46260.0</v>
      </c>
      <c r="G28" s="102">
        <v>46262.0</v>
      </c>
      <c r="H28" s="41">
        <v>46268.0</v>
      </c>
      <c r="I28" s="41">
        <v>46266.0</v>
      </c>
      <c r="J28" s="27" t="s">
        <v>63</v>
      </c>
      <c r="K28" s="48"/>
      <c r="L28" s="93"/>
      <c r="M28" s="94"/>
    </row>
    <row r="29" ht="22.5" customHeight="1">
      <c r="A29" s="27">
        <v>28.0</v>
      </c>
      <c r="B29" s="29" t="s">
        <v>218</v>
      </c>
      <c r="C29" s="30" t="s">
        <v>61</v>
      </c>
      <c r="D29" s="36" t="s">
        <v>205</v>
      </c>
      <c r="E29" s="30" t="s">
        <v>40</v>
      </c>
      <c r="F29" s="41">
        <v>46266.0</v>
      </c>
      <c r="G29" s="41">
        <v>46266.0</v>
      </c>
      <c r="H29" s="41">
        <v>46266.0</v>
      </c>
      <c r="I29" s="41">
        <v>46266.0</v>
      </c>
      <c r="J29" s="27" t="s">
        <v>160</v>
      </c>
      <c r="K29" s="48"/>
      <c r="L29" s="93"/>
      <c r="M29" s="94"/>
    </row>
    <row r="30" ht="40.5" customHeight="1">
      <c r="A30" s="27">
        <v>29.0</v>
      </c>
      <c r="B30" s="29" t="s">
        <v>81</v>
      </c>
      <c r="C30" s="30" t="s">
        <v>72</v>
      </c>
      <c r="D30" s="36" t="s">
        <v>100</v>
      </c>
      <c r="E30" s="30" t="s">
        <v>225</v>
      </c>
      <c r="F30" s="41">
        <v>46262.0</v>
      </c>
      <c r="G30" s="41">
        <v>46279.0</v>
      </c>
      <c r="H30" s="41">
        <v>46286.0</v>
      </c>
      <c r="I30" s="41"/>
      <c r="J30" s="45" t="s">
        <v>94</v>
      </c>
      <c r="K30" s="76" t="s">
        <v>84</v>
      </c>
      <c r="L30" s="93"/>
      <c r="M30" s="94"/>
    </row>
    <row r="31" ht="40.5" customHeight="1">
      <c r="A31" s="27">
        <v>30.0</v>
      </c>
      <c r="B31" s="29" t="s">
        <v>85</v>
      </c>
      <c r="C31" s="30" t="s">
        <v>72</v>
      </c>
      <c r="D31" s="36" t="s">
        <v>100</v>
      </c>
      <c r="E31" s="30" t="s">
        <v>225</v>
      </c>
      <c r="F31" s="41">
        <v>46262.0</v>
      </c>
      <c r="G31" s="41">
        <v>46279.0</v>
      </c>
      <c r="H31" s="41">
        <v>46286.0</v>
      </c>
      <c r="I31" s="41"/>
      <c r="J31" s="45" t="s">
        <v>94</v>
      </c>
      <c r="K31" s="76" t="s">
        <v>85</v>
      </c>
      <c r="L31" s="93"/>
      <c r="M31" s="94"/>
    </row>
    <row r="32" ht="40.5" customHeight="1">
      <c r="A32" s="27">
        <v>31.0</v>
      </c>
      <c r="B32" s="29" t="s">
        <v>89</v>
      </c>
      <c r="C32" s="30" t="s">
        <v>72</v>
      </c>
      <c r="D32" s="36" t="s">
        <v>100</v>
      </c>
      <c r="E32" s="30" t="s">
        <v>225</v>
      </c>
      <c r="F32" s="41">
        <v>46262.0</v>
      </c>
      <c r="G32" s="41">
        <v>46279.0</v>
      </c>
      <c r="H32" s="41">
        <v>46286.0</v>
      </c>
      <c r="I32" s="41"/>
      <c r="J32" s="45" t="s">
        <v>94</v>
      </c>
      <c r="K32" s="76" t="s">
        <v>89</v>
      </c>
      <c r="L32" s="93"/>
      <c r="M32" s="94"/>
    </row>
    <row r="33" ht="40.5" customHeight="1">
      <c r="A33" s="27">
        <v>32.0</v>
      </c>
      <c r="B33" s="29" t="s">
        <v>93</v>
      </c>
      <c r="C33" s="30" t="s">
        <v>72</v>
      </c>
      <c r="D33" s="36" t="s">
        <v>100</v>
      </c>
      <c r="E33" s="30" t="s">
        <v>225</v>
      </c>
      <c r="F33" s="41">
        <v>46262.0</v>
      </c>
      <c r="G33" s="41">
        <v>46279.0</v>
      </c>
      <c r="H33" s="41">
        <v>46286.0</v>
      </c>
      <c r="I33" s="41"/>
      <c r="J33" s="45" t="s">
        <v>94</v>
      </c>
      <c r="K33" s="76" t="s">
        <v>93</v>
      </c>
      <c r="L33" s="93"/>
      <c r="M33" s="94"/>
    </row>
    <row r="34" ht="40.5" customHeight="1">
      <c r="A34" s="27">
        <v>33.0</v>
      </c>
      <c r="B34" s="29" t="s">
        <v>252</v>
      </c>
      <c r="C34" s="30" t="s">
        <v>31</v>
      </c>
      <c r="D34" s="36" t="s">
        <v>163</v>
      </c>
      <c r="E34" s="30" t="s">
        <v>40</v>
      </c>
      <c r="F34" s="41">
        <v>46272.0</v>
      </c>
      <c r="G34" s="41">
        <v>46272.0</v>
      </c>
      <c r="H34" s="41">
        <v>46283.0</v>
      </c>
      <c r="I34" s="41">
        <v>46279.0</v>
      </c>
      <c r="J34" s="45" t="s">
        <v>160</v>
      </c>
      <c r="K34" s="48"/>
      <c r="L34" s="93"/>
      <c r="M34" s="94"/>
    </row>
    <row r="35" ht="40.5" customHeight="1">
      <c r="A35" s="27">
        <v>34.0</v>
      </c>
      <c r="B35" s="29" t="s">
        <v>256</v>
      </c>
      <c r="C35" s="30" t="s">
        <v>72</v>
      </c>
      <c r="D35" s="36" t="s">
        <v>205</v>
      </c>
      <c r="E35" s="30" t="s">
        <v>40</v>
      </c>
      <c r="F35" s="41">
        <v>46266.0</v>
      </c>
      <c r="G35" s="41">
        <v>46266.0</v>
      </c>
      <c r="H35" s="41">
        <v>46266.0</v>
      </c>
      <c r="I35" s="41">
        <v>46266.0</v>
      </c>
      <c r="J35" s="45" t="s">
        <v>160</v>
      </c>
      <c r="K35" s="48"/>
      <c r="L35" s="93"/>
      <c r="M35" s="94"/>
    </row>
    <row r="36" ht="40.5" customHeight="1">
      <c r="A36" s="27">
        <v>35.0</v>
      </c>
      <c r="B36" s="29" t="s">
        <v>263</v>
      </c>
      <c r="C36" s="30" t="s">
        <v>72</v>
      </c>
      <c r="D36" s="36" t="s">
        <v>205</v>
      </c>
      <c r="E36" s="30" t="s">
        <v>40</v>
      </c>
      <c r="F36" s="41">
        <v>46287.0</v>
      </c>
      <c r="G36" s="41">
        <v>46287.0</v>
      </c>
      <c r="H36" s="41">
        <v>46287.0</v>
      </c>
      <c r="I36" s="41"/>
      <c r="J36" s="45" t="s">
        <v>160</v>
      </c>
      <c r="K36" s="48"/>
      <c r="L36" s="93"/>
      <c r="M36" s="94"/>
    </row>
    <row r="37" ht="40.5" customHeight="1">
      <c r="A37" s="27">
        <v>36.0</v>
      </c>
      <c r="B37" s="29" t="s">
        <v>270</v>
      </c>
      <c r="C37" s="30" t="s">
        <v>31</v>
      </c>
      <c r="D37" s="36" t="s">
        <v>205</v>
      </c>
      <c r="E37" s="30" t="s">
        <v>40</v>
      </c>
      <c r="F37" s="41">
        <v>46286.0</v>
      </c>
      <c r="G37" s="41">
        <v>46286.0</v>
      </c>
      <c r="H37" s="41">
        <v>46286.0</v>
      </c>
      <c r="I37" s="41">
        <v>46286.0</v>
      </c>
      <c r="J37" s="45" t="s">
        <v>160</v>
      </c>
      <c r="K37" s="48"/>
      <c r="L37" s="93"/>
      <c r="M37" s="94"/>
    </row>
    <row r="38" ht="40.5" customHeight="1">
      <c r="A38" s="27">
        <v>37.0</v>
      </c>
      <c r="B38" s="29" t="s">
        <v>274</v>
      </c>
      <c r="C38" s="30" t="s">
        <v>31</v>
      </c>
      <c r="D38" s="36" t="s">
        <v>205</v>
      </c>
      <c r="E38" s="30" t="s">
        <v>40</v>
      </c>
      <c r="F38" s="41">
        <v>46286.0</v>
      </c>
      <c r="G38" s="41">
        <v>46286.0</v>
      </c>
      <c r="H38" s="41">
        <v>46286.0</v>
      </c>
      <c r="I38" s="41">
        <v>46286.0</v>
      </c>
      <c r="J38" s="45" t="s">
        <v>160</v>
      </c>
      <c r="K38" s="48"/>
      <c r="L38" s="93"/>
      <c r="M38" s="94"/>
    </row>
    <row r="39" ht="40.5" customHeight="1">
      <c r="A39" s="27">
        <v>38.0</v>
      </c>
      <c r="B39" s="29" t="s">
        <v>281</v>
      </c>
      <c r="C39" s="30" t="s">
        <v>31</v>
      </c>
      <c r="D39" s="36" t="s">
        <v>163</v>
      </c>
      <c r="E39" s="30" t="s">
        <v>40</v>
      </c>
      <c r="F39" s="41">
        <v>46289.0</v>
      </c>
      <c r="G39" s="41">
        <v>46289.0</v>
      </c>
      <c r="H39" s="41">
        <v>46289.0</v>
      </c>
      <c r="I39" s="41">
        <v>46289.0</v>
      </c>
      <c r="J39" s="45" t="s">
        <v>160</v>
      </c>
      <c r="K39" s="48"/>
      <c r="L39" s="93"/>
      <c r="M39" s="94"/>
    </row>
    <row r="40" ht="40.5" customHeight="1">
      <c r="A40" s="27">
        <v>39.0</v>
      </c>
      <c r="B40" s="29" t="s">
        <v>287</v>
      </c>
      <c r="C40" s="30" t="s">
        <v>31</v>
      </c>
      <c r="D40" s="36" t="s">
        <v>163</v>
      </c>
      <c r="E40" s="30" t="s">
        <v>40</v>
      </c>
      <c r="F40" s="41">
        <v>46289.0</v>
      </c>
      <c r="G40" s="41">
        <v>46289.0</v>
      </c>
      <c r="H40" s="41">
        <v>46290.0</v>
      </c>
      <c r="I40" s="41">
        <v>46290.0</v>
      </c>
      <c r="J40" s="45" t="s">
        <v>160</v>
      </c>
      <c r="K40" s="48"/>
      <c r="L40" s="93"/>
      <c r="M40" s="94"/>
    </row>
    <row r="41" ht="40.5" customHeight="1">
      <c r="A41" s="27">
        <v>40.0</v>
      </c>
      <c r="B41" s="29" t="s">
        <v>292</v>
      </c>
      <c r="C41" s="30" t="s">
        <v>31</v>
      </c>
      <c r="D41" s="36" t="s">
        <v>163</v>
      </c>
      <c r="E41" s="30" t="s">
        <v>40</v>
      </c>
      <c r="F41" s="41">
        <v>46290.0</v>
      </c>
      <c r="G41" s="41">
        <v>46290.0</v>
      </c>
      <c r="H41" s="41">
        <v>46290.0</v>
      </c>
      <c r="I41" s="41">
        <v>46290.0</v>
      </c>
      <c r="J41" s="45" t="s">
        <v>160</v>
      </c>
      <c r="K41" s="48"/>
      <c r="L41" s="29" t="s">
        <v>295</v>
      </c>
      <c r="M41" s="52"/>
    </row>
    <row r="42" ht="40.5" customHeight="1">
      <c r="A42" s="27">
        <v>41.0</v>
      </c>
      <c r="B42" s="29" t="s">
        <v>298</v>
      </c>
      <c r="C42" s="30" t="s">
        <v>72</v>
      </c>
      <c r="D42" s="36" t="s">
        <v>163</v>
      </c>
      <c r="E42" s="30" t="s">
        <v>225</v>
      </c>
      <c r="F42" s="41">
        <v>46293.0</v>
      </c>
      <c r="G42" s="41">
        <v>46293.0</v>
      </c>
      <c r="H42" s="41">
        <v>46308.0</v>
      </c>
      <c r="I42" s="41"/>
      <c r="J42" s="45" t="s">
        <v>160</v>
      </c>
      <c r="K42" s="48"/>
      <c r="L42" s="29" t="s">
        <v>300</v>
      </c>
      <c r="M42" s="52"/>
    </row>
    <row r="43" ht="40.5" customHeight="1">
      <c r="A43" s="27">
        <v>42.0</v>
      </c>
      <c r="B43" s="127" t="s">
        <v>303</v>
      </c>
      <c r="C43" s="128" t="s">
        <v>61</v>
      </c>
      <c r="D43" s="36" t="s">
        <v>205</v>
      </c>
      <c r="E43" s="128" t="s">
        <v>40</v>
      </c>
      <c r="F43" s="129">
        <v>46148.0</v>
      </c>
      <c r="G43" s="129">
        <v>46148.0</v>
      </c>
      <c r="H43" s="129">
        <v>46148.0</v>
      </c>
      <c r="I43" s="130">
        <v>46148.0</v>
      </c>
      <c r="J43" s="131" t="s">
        <v>160</v>
      </c>
      <c r="K43" s="132"/>
      <c r="L43" s="127" t="s">
        <v>308</v>
      </c>
      <c r="M43" s="134" t="s">
        <v>309</v>
      </c>
    </row>
    <row r="44" ht="40.5" customHeight="1">
      <c r="A44" s="27">
        <v>43.0</v>
      </c>
      <c r="B44" s="127" t="s">
        <v>315</v>
      </c>
      <c r="C44" s="128" t="s">
        <v>31</v>
      </c>
      <c r="D44" s="36" t="s">
        <v>205</v>
      </c>
      <c r="E44" s="128" t="s">
        <v>40</v>
      </c>
      <c r="F44" s="129">
        <v>46148.0</v>
      </c>
      <c r="G44" s="129">
        <v>46148.0</v>
      </c>
      <c r="H44" s="129">
        <v>46148.0</v>
      </c>
      <c r="I44" s="130">
        <v>46148.0</v>
      </c>
      <c r="J44" s="131" t="s">
        <v>160</v>
      </c>
      <c r="K44" s="132"/>
      <c r="L44" s="127" t="s">
        <v>320</v>
      </c>
      <c r="M44" s="134">
        <v>332823.0</v>
      </c>
    </row>
    <row r="45" ht="40.5" customHeight="1">
      <c r="A45" s="27">
        <v>44.0</v>
      </c>
      <c r="B45" s="127" t="s">
        <v>323</v>
      </c>
      <c r="C45" s="128" t="s">
        <v>31</v>
      </c>
      <c r="D45" s="36" t="s">
        <v>205</v>
      </c>
      <c r="E45" s="128" t="s">
        <v>40</v>
      </c>
      <c r="F45" s="129">
        <v>46148.0</v>
      </c>
      <c r="G45" s="129">
        <v>46148.0</v>
      </c>
      <c r="H45" s="129">
        <v>46148.0</v>
      </c>
      <c r="I45" s="130">
        <v>46148.0</v>
      </c>
      <c r="J45" s="131" t="s">
        <v>160</v>
      </c>
      <c r="K45" s="132"/>
      <c r="L45" s="127" t="s">
        <v>324</v>
      </c>
      <c r="M45" s="134" t="s">
        <v>325</v>
      </c>
    </row>
    <row r="46" ht="40.5" customHeight="1">
      <c r="A46" s="27">
        <v>45.0</v>
      </c>
      <c r="B46" s="127" t="s">
        <v>326</v>
      </c>
      <c r="C46" s="128" t="s">
        <v>31</v>
      </c>
      <c r="D46" s="36" t="s">
        <v>205</v>
      </c>
      <c r="E46" s="128" t="s">
        <v>40</v>
      </c>
      <c r="F46" s="129">
        <v>46148.0</v>
      </c>
      <c r="G46" s="129">
        <v>46148.0</v>
      </c>
      <c r="H46" s="129">
        <v>46148.0</v>
      </c>
      <c r="I46" s="130">
        <v>46148.0</v>
      </c>
      <c r="J46" s="131" t="s">
        <v>160</v>
      </c>
      <c r="K46" s="132"/>
      <c r="L46" s="127" t="s">
        <v>327</v>
      </c>
      <c r="M46" s="134" t="s">
        <v>328</v>
      </c>
    </row>
    <row r="47" ht="40.5" customHeight="1">
      <c r="A47" s="27">
        <v>46.0</v>
      </c>
      <c r="B47" s="127" t="s">
        <v>329</v>
      </c>
      <c r="C47" s="128" t="s">
        <v>72</v>
      </c>
      <c r="D47" s="36" t="s">
        <v>205</v>
      </c>
      <c r="E47" s="128" t="s">
        <v>40</v>
      </c>
      <c r="F47" s="129">
        <v>46148.0</v>
      </c>
      <c r="G47" s="129">
        <v>46148.0</v>
      </c>
      <c r="H47" s="129">
        <v>46148.0</v>
      </c>
      <c r="I47" s="130">
        <v>46148.0</v>
      </c>
      <c r="J47" s="131" t="s">
        <v>160</v>
      </c>
      <c r="K47" s="132"/>
      <c r="L47" s="127" t="s">
        <v>331</v>
      </c>
      <c r="M47" s="134" t="s">
        <v>332</v>
      </c>
    </row>
    <row r="48" ht="40.5" customHeight="1">
      <c r="A48" s="27">
        <v>47.0</v>
      </c>
      <c r="B48" s="127" t="s">
        <v>333</v>
      </c>
      <c r="C48" s="128" t="s">
        <v>31</v>
      </c>
      <c r="D48" s="36" t="s">
        <v>205</v>
      </c>
      <c r="E48" s="128" t="s">
        <v>40</v>
      </c>
      <c r="F48" s="129">
        <v>46153.0</v>
      </c>
      <c r="G48" s="129">
        <v>46153.0</v>
      </c>
      <c r="H48" s="129">
        <v>46153.0</v>
      </c>
      <c r="I48" s="130">
        <v>46153.0</v>
      </c>
      <c r="J48" s="131" t="s">
        <v>160</v>
      </c>
      <c r="K48" s="132"/>
      <c r="L48" s="127" t="s">
        <v>334</v>
      </c>
      <c r="M48" s="134" t="s">
        <v>335</v>
      </c>
    </row>
    <row r="49" ht="40.5" customHeight="1">
      <c r="A49" s="27">
        <v>48.0</v>
      </c>
      <c r="B49" s="127" t="s">
        <v>336</v>
      </c>
      <c r="C49" s="128" t="s">
        <v>31</v>
      </c>
      <c r="D49" s="36" t="s">
        <v>205</v>
      </c>
      <c r="E49" s="128" t="s">
        <v>40</v>
      </c>
      <c r="F49" s="129">
        <v>46153.0</v>
      </c>
      <c r="G49" s="129">
        <v>46153.0</v>
      </c>
      <c r="H49" s="129">
        <v>46153.0</v>
      </c>
      <c r="I49" s="130">
        <v>46153.0</v>
      </c>
      <c r="J49" s="131" t="s">
        <v>160</v>
      </c>
      <c r="K49" s="132"/>
      <c r="L49" s="127" t="s">
        <v>338</v>
      </c>
      <c r="M49" s="134" t="s">
        <v>339</v>
      </c>
    </row>
    <row r="50" ht="40.5" customHeight="1">
      <c r="A50" s="27">
        <v>49.0</v>
      </c>
      <c r="B50" s="127" t="s">
        <v>340</v>
      </c>
      <c r="C50" s="128" t="s">
        <v>31</v>
      </c>
      <c r="D50" s="36" t="s">
        <v>205</v>
      </c>
      <c r="E50" s="128" t="s">
        <v>40</v>
      </c>
      <c r="F50" s="129">
        <v>46153.0</v>
      </c>
      <c r="G50" s="129">
        <v>46153.0</v>
      </c>
      <c r="H50" s="129">
        <v>46153.0</v>
      </c>
      <c r="I50" s="130">
        <v>46153.0</v>
      </c>
      <c r="J50" s="131" t="s">
        <v>160</v>
      </c>
      <c r="K50" s="132"/>
      <c r="L50" s="127" t="s">
        <v>341</v>
      </c>
      <c r="M50" s="134" t="s">
        <v>342</v>
      </c>
    </row>
    <row r="51" ht="40.5" customHeight="1">
      <c r="A51" s="27">
        <v>50.0</v>
      </c>
      <c r="B51" s="127" t="s">
        <v>343</v>
      </c>
      <c r="C51" s="128" t="s">
        <v>72</v>
      </c>
      <c r="D51" s="36" t="s">
        <v>205</v>
      </c>
      <c r="E51" s="128" t="s">
        <v>40</v>
      </c>
      <c r="F51" s="129">
        <v>46176.0</v>
      </c>
      <c r="G51" s="129">
        <v>46176.0</v>
      </c>
      <c r="H51" s="129">
        <v>46176.0</v>
      </c>
      <c r="I51" s="130">
        <v>46176.0</v>
      </c>
      <c r="J51" s="131" t="s">
        <v>160</v>
      </c>
      <c r="K51" s="132"/>
      <c r="L51" s="127" t="s">
        <v>344</v>
      </c>
      <c r="M51" s="134" t="s">
        <v>345</v>
      </c>
    </row>
    <row r="52" ht="40.5" customHeight="1">
      <c r="A52" s="27">
        <v>51.0</v>
      </c>
      <c r="B52" s="127" t="s">
        <v>346</v>
      </c>
      <c r="C52" s="128" t="s">
        <v>31</v>
      </c>
      <c r="D52" s="36" t="s">
        <v>205</v>
      </c>
      <c r="E52" s="128" t="s">
        <v>40</v>
      </c>
      <c r="F52" s="129">
        <v>46176.0</v>
      </c>
      <c r="G52" s="129">
        <v>46176.0</v>
      </c>
      <c r="H52" s="129">
        <v>46176.0</v>
      </c>
      <c r="I52" s="130">
        <v>46176.0</v>
      </c>
      <c r="J52" s="131" t="s">
        <v>160</v>
      </c>
      <c r="K52" s="132"/>
      <c r="L52" s="127" t="s">
        <v>347</v>
      </c>
      <c r="M52" s="134" t="s">
        <v>348</v>
      </c>
    </row>
    <row r="53" ht="40.5" customHeight="1">
      <c r="A53" s="27">
        <v>52.0</v>
      </c>
      <c r="B53" s="127" t="s">
        <v>350</v>
      </c>
      <c r="C53" s="128" t="s">
        <v>61</v>
      </c>
      <c r="D53" s="36" t="s">
        <v>205</v>
      </c>
      <c r="E53" s="128" t="s">
        <v>40</v>
      </c>
      <c r="F53" s="129">
        <v>46225.0</v>
      </c>
      <c r="G53" s="129">
        <v>46225.0</v>
      </c>
      <c r="H53" s="129">
        <v>46225.0</v>
      </c>
      <c r="I53" s="130">
        <v>46225.0</v>
      </c>
      <c r="J53" s="131" t="s">
        <v>160</v>
      </c>
      <c r="K53" s="132"/>
      <c r="L53" s="127" t="s">
        <v>351</v>
      </c>
      <c r="M53" s="134" t="s">
        <v>352</v>
      </c>
    </row>
    <row r="54" ht="40.5" customHeight="1">
      <c r="A54" s="27">
        <v>53.0</v>
      </c>
      <c r="B54" s="127" t="s">
        <v>353</v>
      </c>
      <c r="C54" s="128" t="s">
        <v>61</v>
      </c>
      <c r="D54" s="36" t="s">
        <v>205</v>
      </c>
      <c r="E54" s="128" t="s">
        <v>40</v>
      </c>
      <c r="F54" s="129">
        <v>46225.0</v>
      </c>
      <c r="G54" s="129">
        <v>46225.0</v>
      </c>
      <c r="H54" s="129">
        <v>46225.0</v>
      </c>
      <c r="I54" s="130">
        <v>46225.0</v>
      </c>
      <c r="J54" s="131" t="s">
        <v>160</v>
      </c>
      <c r="K54" s="132"/>
      <c r="L54" s="127" t="s">
        <v>354</v>
      </c>
      <c r="M54" s="134" t="s">
        <v>355</v>
      </c>
    </row>
    <row r="55" ht="40.5" customHeight="1">
      <c r="A55" s="27">
        <v>54.0</v>
      </c>
      <c r="B55" s="127" t="s">
        <v>356</v>
      </c>
      <c r="C55" s="128" t="s">
        <v>72</v>
      </c>
      <c r="D55" s="36" t="s">
        <v>205</v>
      </c>
      <c r="E55" s="128" t="s">
        <v>40</v>
      </c>
      <c r="F55" s="129">
        <v>46225.0</v>
      </c>
      <c r="G55" s="129">
        <v>46225.0</v>
      </c>
      <c r="H55" s="129">
        <v>46225.0</v>
      </c>
      <c r="I55" s="130">
        <v>46225.0</v>
      </c>
      <c r="J55" s="131" t="s">
        <v>160</v>
      </c>
      <c r="K55" s="132"/>
      <c r="L55" s="127" t="s">
        <v>331</v>
      </c>
      <c r="M55" s="134" t="s">
        <v>357</v>
      </c>
    </row>
    <row r="56" ht="40.5" customHeight="1">
      <c r="A56" s="27">
        <v>55.0</v>
      </c>
      <c r="B56" s="127" t="s">
        <v>359</v>
      </c>
      <c r="C56" s="128" t="s">
        <v>61</v>
      </c>
      <c r="D56" s="36" t="s">
        <v>205</v>
      </c>
      <c r="E56" s="128" t="s">
        <v>40</v>
      </c>
      <c r="F56" s="129">
        <v>46226.0</v>
      </c>
      <c r="G56" s="129">
        <v>46226.0</v>
      </c>
      <c r="H56" s="129">
        <v>46226.0</v>
      </c>
      <c r="I56" s="130">
        <v>46226.0</v>
      </c>
      <c r="J56" s="131" t="s">
        <v>160</v>
      </c>
      <c r="K56" s="132"/>
      <c r="L56" s="127" t="s">
        <v>360</v>
      </c>
      <c r="M56" s="134" t="s">
        <v>361</v>
      </c>
    </row>
    <row r="57" ht="40.5" customHeight="1">
      <c r="A57" s="27">
        <v>56.0</v>
      </c>
      <c r="B57" s="127" t="s">
        <v>363</v>
      </c>
      <c r="C57" s="128" t="s">
        <v>31</v>
      </c>
      <c r="D57" s="36" t="s">
        <v>205</v>
      </c>
      <c r="E57" s="128" t="s">
        <v>40</v>
      </c>
      <c r="F57" s="129">
        <v>46226.0</v>
      </c>
      <c r="G57" s="129">
        <v>46226.0</v>
      </c>
      <c r="H57" s="129">
        <v>46226.0</v>
      </c>
      <c r="I57" s="130">
        <v>46226.0</v>
      </c>
      <c r="J57" s="131" t="s">
        <v>160</v>
      </c>
      <c r="K57" s="132"/>
      <c r="L57" s="127" t="s">
        <v>364</v>
      </c>
      <c r="M57" s="134" t="s">
        <v>365</v>
      </c>
    </row>
    <row r="58" ht="40.5" customHeight="1">
      <c r="A58" s="27">
        <v>57.0</v>
      </c>
      <c r="B58" s="127" t="s">
        <v>366</v>
      </c>
      <c r="C58" s="128" t="s">
        <v>61</v>
      </c>
      <c r="D58" s="36" t="s">
        <v>205</v>
      </c>
      <c r="E58" s="128" t="s">
        <v>40</v>
      </c>
      <c r="F58" s="129">
        <v>46226.0</v>
      </c>
      <c r="G58" s="129">
        <v>46226.0</v>
      </c>
      <c r="H58" s="129">
        <v>46226.0</v>
      </c>
      <c r="I58" s="130">
        <v>46226.0</v>
      </c>
      <c r="J58" s="131" t="s">
        <v>160</v>
      </c>
      <c r="K58" s="132"/>
      <c r="L58" s="127" t="s">
        <v>367</v>
      </c>
      <c r="M58" s="134" t="s">
        <v>368</v>
      </c>
    </row>
    <row r="59" ht="40.5" customHeight="1">
      <c r="A59" s="27">
        <v>58.0</v>
      </c>
      <c r="B59" s="127" t="s">
        <v>369</v>
      </c>
      <c r="C59" s="128" t="s">
        <v>72</v>
      </c>
      <c r="D59" s="36" t="s">
        <v>205</v>
      </c>
      <c r="E59" s="128" t="s">
        <v>40</v>
      </c>
      <c r="F59" s="129">
        <v>46226.0</v>
      </c>
      <c r="G59" s="129">
        <v>46226.0</v>
      </c>
      <c r="H59" s="129">
        <v>46226.0</v>
      </c>
      <c r="I59" s="130">
        <v>46226.0</v>
      </c>
      <c r="J59" s="131" t="s">
        <v>160</v>
      </c>
      <c r="K59" s="132"/>
      <c r="L59" s="127" t="s">
        <v>370</v>
      </c>
      <c r="M59" s="134" t="s">
        <v>371</v>
      </c>
    </row>
    <row r="60" ht="40.5" customHeight="1">
      <c r="A60" s="27">
        <v>59.0</v>
      </c>
      <c r="B60" s="127" t="s">
        <v>372</v>
      </c>
      <c r="C60" s="128" t="s">
        <v>61</v>
      </c>
      <c r="D60" s="36" t="s">
        <v>205</v>
      </c>
      <c r="E60" s="128" t="s">
        <v>40</v>
      </c>
      <c r="F60" s="129">
        <v>46226.0</v>
      </c>
      <c r="G60" s="129">
        <v>46226.0</v>
      </c>
      <c r="H60" s="129">
        <v>46226.0</v>
      </c>
      <c r="I60" s="130">
        <v>46226.0</v>
      </c>
      <c r="J60" s="131" t="s">
        <v>160</v>
      </c>
      <c r="K60" s="132"/>
      <c r="L60" s="127" t="s">
        <v>331</v>
      </c>
      <c r="M60" s="134" t="s">
        <v>373</v>
      </c>
    </row>
    <row r="61" ht="40.5" customHeight="1">
      <c r="A61" s="27">
        <v>60.0</v>
      </c>
      <c r="B61" s="127" t="s">
        <v>374</v>
      </c>
      <c r="C61" s="128" t="s">
        <v>72</v>
      </c>
      <c r="D61" s="36" t="s">
        <v>205</v>
      </c>
      <c r="E61" s="128" t="s">
        <v>40</v>
      </c>
      <c r="F61" s="129">
        <v>46227.0</v>
      </c>
      <c r="G61" s="129">
        <v>46227.0</v>
      </c>
      <c r="H61" s="129">
        <v>46227.0</v>
      </c>
      <c r="I61" s="130">
        <v>46227.0</v>
      </c>
      <c r="J61" s="131" t="s">
        <v>160</v>
      </c>
      <c r="K61" s="132"/>
      <c r="L61" s="127" t="s">
        <v>375</v>
      </c>
      <c r="M61" s="134" t="s">
        <v>376</v>
      </c>
    </row>
    <row r="62" ht="40.5" customHeight="1">
      <c r="A62" s="27">
        <v>61.0</v>
      </c>
      <c r="B62" s="127" t="s">
        <v>377</v>
      </c>
      <c r="C62" s="128" t="s">
        <v>72</v>
      </c>
      <c r="D62" s="36" t="s">
        <v>205</v>
      </c>
      <c r="E62" s="128" t="s">
        <v>40</v>
      </c>
      <c r="F62" s="129">
        <v>46227.0</v>
      </c>
      <c r="G62" s="129">
        <v>46227.0</v>
      </c>
      <c r="H62" s="129">
        <v>46227.0</v>
      </c>
      <c r="I62" s="130">
        <v>46227.0</v>
      </c>
      <c r="J62" s="131" t="s">
        <v>160</v>
      </c>
      <c r="K62" s="132"/>
      <c r="L62" s="127" t="s">
        <v>378</v>
      </c>
      <c r="M62" s="134">
        <v>7554218.0</v>
      </c>
    </row>
    <row r="63" ht="40.5" customHeight="1">
      <c r="A63" s="27">
        <v>62.0</v>
      </c>
      <c r="B63" s="127" t="s">
        <v>379</v>
      </c>
      <c r="C63" s="128" t="s">
        <v>61</v>
      </c>
      <c r="D63" s="36" t="s">
        <v>205</v>
      </c>
      <c r="E63" s="128" t="s">
        <v>40</v>
      </c>
      <c r="F63" s="129">
        <v>46227.0</v>
      </c>
      <c r="G63" s="129">
        <v>46227.0</v>
      </c>
      <c r="H63" s="129">
        <v>46227.0</v>
      </c>
      <c r="I63" s="130">
        <v>46227.0</v>
      </c>
      <c r="J63" s="131" t="s">
        <v>160</v>
      </c>
      <c r="K63" s="132"/>
      <c r="L63" s="127" t="s">
        <v>380</v>
      </c>
      <c r="M63" s="134" t="s">
        <v>381</v>
      </c>
    </row>
    <row r="64" ht="40.5" customHeight="1">
      <c r="A64" s="27">
        <v>63.0</v>
      </c>
      <c r="B64" s="127" t="s">
        <v>382</v>
      </c>
      <c r="C64" s="128" t="s">
        <v>31</v>
      </c>
      <c r="D64" s="36" t="s">
        <v>205</v>
      </c>
      <c r="E64" s="128" t="s">
        <v>40</v>
      </c>
      <c r="F64" s="129">
        <v>46227.0</v>
      </c>
      <c r="G64" s="129">
        <v>46227.0</v>
      </c>
      <c r="H64" s="129">
        <v>46227.0</v>
      </c>
      <c r="I64" s="130">
        <v>46227.0</v>
      </c>
      <c r="J64" s="131" t="s">
        <v>160</v>
      </c>
      <c r="K64" s="132"/>
      <c r="L64" s="127" t="s">
        <v>383</v>
      </c>
      <c r="M64" s="134" t="s">
        <v>384</v>
      </c>
    </row>
    <row r="65" ht="40.5" customHeight="1">
      <c r="A65" s="27">
        <v>64.0</v>
      </c>
      <c r="B65" s="127" t="s">
        <v>385</v>
      </c>
      <c r="C65" s="128" t="s">
        <v>61</v>
      </c>
      <c r="D65" s="36" t="s">
        <v>205</v>
      </c>
      <c r="E65" s="128" t="s">
        <v>40</v>
      </c>
      <c r="F65" s="129">
        <v>46227.0</v>
      </c>
      <c r="G65" s="129">
        <v>46227.0</v>
      </c>
      <c r="H65" s="129">
        <v>46227.0</v>
      </c>
      <c r="I65" s="130">
        <v>46227.0</v>
      </c>
      <c r="J65" s="131" t="s">
        <v>160</v>
      </c>
      <c r="K65" s="132"/>
      <c r="L65" s="127" t="s">
        <v>386</v>
      </c>
      <c r="M65" s="134" t="s">
        <v>387</v>
      </c>
    </row>
    <row r="66" ht="40.5" customHeight="1">
      <c r="A66" s="27">
        <v>65.0</v>
      </c>
      <c r="B66" s="127" t="s">
        <v>388</v>
      </c>
      <c r="C66" s="128" t="s">
        <v>61</v>
      </c>
      <c r="D66" s="36" t="s">
        <v>205</v>
      </c>
      <c r="E66" s="128" t="s">
        <v>40</v>
      </c>
      <c r="F66" s="129">
        <v>46227.0</v>
      </c>
      <c r="G66" s="129">
        <v>46227.0</v>
      </c>
      <c r="H66" s="129">
        <v>46227.0</v>
      </c>
      <c r="I66" s="130">
        <v>46227.0</v>
      </c>
      <c r="J66" s="131" t="s">
        <v>160</v>
      </c>
      <c r="K66" s="132"/>
      <c r="L66" s="127" t="s">
        <v>389</v>
      </c>
      <c r="M66" s="134" t="s">
        <v>390</v>
      </c>
    </row>
    <row r="67" ht="40.5" customHeight="1">
      <c r="A67" s="27">
        <v>66.0</v>
      </c>
      <c r="B67" s="127" t="s">
        <v>391</v>
      </c>
      <c r="C67" s="128" t="s">
        <v>31</v>
      </c>
      <c r="D67" s="36" t="s">
        <v>205</v>
      </c>
      <c r="E67" s="128" t="s">
        <v>40</v>
      </c>
      <c r="F67" s="129">
        <v>46227.0</v>
      </c>
      <c r="G67" s="129">
        <v>46227.0</v>
      </c>
      <c r="H67" s="129">
        <v>46227.0</v>
      </c>
      <c r="I67" s="130">
        <v>46227.0</v>
      </c>
      <c r="J67" s="131" t="s">
        <v>160</v>
      </c>
      <c r="K67" s="132"/>
      <c r="L67" s="127" t="s">
        <v>392</v>
      </c>
      <c r="M67" s="134" t="s">
        <v>393</v>
      </c>
    </row>
    <row r="68" ht="40.5" customHeight="1">
      <c r="A68" s="27">
        <v>67.0</v>
      </c>
      <c r="B68" s="127" t="s">
        <v>394</v>
      </c>
      <c r="C68" s="128" t="s">
        <v>61</v>
      </c>
      <c r="D68" s="36" t="s">
        <v>205</v>
      </c>
      <c r="E68" s="128" t="s">
        <v>40</v>
      </c>
      <c r="F68" s="129">
        <v>46227.0</v>
      </c>
      <c r="G68" s="129">
        <v>46227.0</v>
      </c>
      <c r="H68" s="129">
        <v>46227.0</v>
      </c>
      <c r="I68" s="130">
        <v>46227.0</v>
      </c>
      <c r="J68" s="131" t="s">
        <v>160</v>
      </c>
      <c r="K68" s="132"/>
      <c r="L68" s="127" t="s">
        <v>395</v>
      </c>
      <c r="M68" s="134" t="s">
        <v>396</v>
      </c>
    </row>
    <row r="69" ht="40.5" customHeight="1">
      <c r="A69" s="27">
        <v>68.0</v>
      </c>
      <c r="B69" s="127" t="s">
        <v>397</v>
      </c>
      <c r="C69" s="128" t="s">
        <v>31</v>
      </c>
      <c r="D69" s="36" t="s">
        <v>205</v>
      </c>
      <c r="E69" s="128" t="s">
        <v>40</v>
      </c>
      <c r="F69" s="129">
        <v>46227.0</v>
      </c>
      <c r="G69" s="129">
        <v>46227.0</v>
      </c>
      <c r="H69" s="129">
        <v>46227.0</v>
      </c>
      <c r="I69" s="130">
        <v>46227.0</v>
      </c>
      <c r="J69" s="131" t="s">
        <v>160</v>
      </c>
      <c r="K69" s="132"/>
      <c r="L69" s="127" t="s">
        <v>398</v>
      </c>
      <c r="M69" s="134" t="s">
        <v>399</v>
      </c>
    </row>
    <row r="70" ht="40.5" customHeight="1">
      <c r="A70" s="27">
        <v>69.0</v>
      </c>
      <c r="B70" s="127" t="s">
        <v>400</v>
      </c>
      <c r="C70" s="128" t="s">
        <v>31</v>
      </c>
      <c r="D70" s="36" t="s">
        <v>205</v>
      </c>
      <c r="E70" s="128" t="s">
        <v>40</v>
      </c>
      <c r="F70" s="129">
        <v>46227.0</v>
      </c>
      <c r="G70" s="129">
        <v>46227.0</v>
      </c>
      <c r="H70" s="129">
        <v>46227.0</v>
      </c>
      <c r="I70" s="130">
        <v>46227.0</v>
      </c>
      <c r="J70" s="131" t="s">
        <v>160</v>
      </c>
      <c r="K70" s="132"/>
      <c r="L70" s="127" t="s">
        <v>401</v>
      </c>
      <c r="M70" s="134" t="s">
        <v>402</v>
      </c>
    </row>
    <row r="71" ht="40.5" customHeight="1">
      <c r="A71" s="27">
        <v>70.0</v>
      </c>
      <c r="B71" s="127" t="s">
        <v>403</v>
      </c>
      <c r="C71" s="128" t="s">
        <v>31</v>
      </c>
      <c r="D71" s="36" t="s">
        <v>205</v>
      </c>
      <c r="E71" s="128" t="s">
        <v>40</v>
      </c>
      <c r="F71" s="129">
        <v>46227.0</v>
      </c>
      <c r="G71" s="129">
        <v>46227.0</v>
      </c>
      <c r="H71" s="129">
        <v>46227.0</v>
      </c>
      <c r="I71" s="130">
        <v>46227.0</v>
      </c>
      <c r="J71" s="131" t="s">
        <v>160</v>
      </c>
      <c r="K71" s="132"/>
      <c r="L71" s="127" t="s">
        <v>331</v>
      </c>
      <c r="M71" s="134" t="s">
        <v>404</v>
      </c>
    </row>
    <row r="72" ht="40.5" customHeight="1">
      <c r="A72" s="27">
        <v>71.0</v>
      </c>
      <c r="B72" s="127" t="s">
        <v>405</v>
      </c>
      <c r="C72" s="128" t="s">
        <v>31</v>
      </c>
      <c r="D72" s="36" t="s">
        <v>205</v>
      </c>
      <c r="E72" s="128" t="s">
        <v>40</v>
      </c>
      <c r="F72" s="129">
        <v>46227.0</v>
      </c>
      <c r="G72" s="129">
        <v>46227.0</v>
      </c>
      <c r="H72" s="129">
        <v>46227.0</v>
      </c>
      <c r="I72" s="130">
        <v>46227.0</v>
      </c>
      <c r="J72" s="131" t="s">
        <v>160</v>
      </c>
      <c r="K72" s="132"/>
      <c r="L72" s="127" t="s">
        <v>331</v>
      </c>
      <c r="M72" s="134" t="s">
        <v>406</v>
      </c>
    </row>
    <row r="73" ht="40.5" customHeight="1">
      <c r="A73" s="27">
        <v>72.0</v>
      </c>
      <c r="B73" s="127" t="s">
        <v>407</v>
      </c>
      <c r="C73" s="128" t="s">
        <v>31</v>
      </c>
      <c r="D73" s="36" t="s">
        <v>205</v>
      </c>
      <c r="E73" s="128" t="s">
        <v>40</v>
      </c>
      <c r="F73" s="129">
        <v>46227.0</v>
      </c>
      <c r="G73" s="129">
        <v>46227.0</v>
      </c>
      <c r="H73" s="129">
        <v>46227.0</v>
      </c>
      <c r="I73" s="130">
        <v>46227.0</v>
      </c>
      <c r="J73" s="131" t="s">
        <v>160</v>
      </c>
      <c r="K73" s="132"/>
      <c r="L73" s="127" t="s">
        <v>331</v>
      </c>
      <c r="M73" s="134" t="s">
        <v>408</v>
      </c>
    </row>
    <row r="74" ht="40.5" customHeight="1">
      <c r="A74" s="27">
        <v>73.0</v>
      </c>
      <c r="B74" s="127" t="s">
        <v>409</v>
      </c>
      <c r="C74" s="128" t="s">
        <v>31</v>
      </c>
      <c r="D74" s="36" t="s">
        <v>205</v>
      </c>
      <c r="E74" s="128" t="s">
        <v>40</v>
      </c>
      <c r="F74" s="129">
        <v>46227.0</v>
      </c>
      <c r="G74" s="129">
        <v>46227.0</v>
      </c>
      <c r="H74" s="129">
        <v>46227.0</v>
      </c>
      <c r="I74" s="130">
        <v>46227.0</v>
      </c>
      <c r="J74" s="131" t="s">
        <v>160</v>
      </c>
      <c r="K74" s="132"/>
      <c r="L74" s="127" t="s">
        <v>331</v>
      </c>
      <c r="M74" s="134" t="s">
        <v>410</v>
      </c>
    </row>
    <row r="75" ht="40.5" customHeight="1">
      <c r="A75" s="27">
        <v>74.0</v>
      </c>
      <c r="B75" s="127" t="s">
        <v>411</v>
      </c>
      <c r="C75" s="128" t="s">
        <v>31</v>
      </c>
      <c r="D75" s="36" t="s">
        <v>205</v>
      </c>
      <c r="E75" s="128" t="s">
        <v>40</v>
      </c>
      <c r="F75" s="129">
        <v>46227.0</v>
      </c>
      <c r="G75" s="129">
        <v>46227.0</v>
      </c>
      <c r="H75" s="129">
        <v>46227.0</v>
      </c>
      <c r="I75" s="130">
        <v>46227.0</v>
      </c>
      <c r="J75" s="131" t="s">
        <v>160</v>
      </c>
      <c r="K75" s="132"/>
      <c r="L75" s="127" t="s">
        <v>331</v>
      </c>
      <c r="M75" s="134" t="s">
        <v>412</v>
      </c>
    </row>
    <row r="76" ht="40.5" customHeight="1">
      <c r="A76" s="27">
        <v>75.0</v>
      </c>
      <c r="B76" s="127" t="s">
        <v>413</v>
      </c>
      <c r="C76" s="128" t="s">
        <v>31</v>
      </c>
      <c r="D76" s="36" t="s">
        <v>205</v>
      </c>
      <c r="E76" s="128" t="s">
        <v>40</v>
      </c>
      <c r="F76" s="129">
        <v>46227.0</v>
      </c>
      <c r="G76" s="129">
        <v>46227.0</v>
      </c>
      <c r="H76" s="129">
        <v>46227.0</v>
      </c>
      <c r="I76" s="130">
        <v>46227.0</v>
      </c>
      <c r="J76" s="131" t="s">
        <v>160</v>
      </c>
      <c r="K76" s="132"/>
      <c r="L76" s="127" t="s">
        <v>331</v>
      </c>
      <c r="M76" s="134" t="s">
        <v>414</v>
      </c>
    </row>
    <row r="77" ht="40.5" customHeight="1">
      <c r="A77" s="27">
        <v>76.0</v>
      </c>
      <c r="B77" s="127" t="s">
        <v>415</v>
      </c>
      <c r="C77" s="128" t="s">
        <v>31</v>
      </c>
      <c r="D77" s="36" t="s">
        <v>205</v>
      </c>
      <c r="E77" s="128" t="s">
        <v>40</v>
      </c>
      <c r="F77" s="129">
        <v>46227.0</v>
      </c>
      <c r="G77" s="129">
        <v>46227.0</v>
      </c>
      <c r="H77" s="129">
        <v>46227.0</v>
      </c>
      <c r="I77" s="130">
        <v>46227.0</v>
      </c>
      <c r="J77" s="131" t="s">
        <v>160</v>
      </c>
      <c r="K77" s="132"/>
      <c r="L77" s="127" t="s">
        <v>331</v>
      </c>
      <c r="M77" s="134" t="s">
        <v>416</v>
      </c>
    </row>
    <row r="78" ht="40.5" customHeight="1">
      <c r="A78" s="27">
        <v>77.0</v>
      </c>
      <c r="B78" s="127" t="s">
        <v>417</v>
      </c>
      <c r="C78" s="128" t="s">
        <v>31</v>
      </c>
      <c r="D78" s="36" t="s">
        <v>205</v>
      </c>
      <c r="E78" s="128" t="s">
        <v>40</v>
      </c>
      <c r="F78" s="129">
        <v>46227.0</v>
      </c>
      <c r="G78" s="129">
        <v>46227.0</v>
      </c>
      <c r="H78" s="129">
        <v>46227.0</v>
      </c>
      <c r="I78" s="130">
        <v>46227.0</v>
      </c>
      <c r="J78" s="131" t="s">
        <v>160</v>
      </c>
      <c r="K78" s="132"/>
      <c r="L78" s="127" t="s">
        <v>331</v>
      </c>
      <c r="M78" s="134" t="s">
        <v>418</v>
      </c>
    </row>
    <row r="79" ht="40.5" customHeight="1">
      <c r="A79" s="27">
        <v>78.0</v>
      </c>
      <c r="B79" s="127" t="s">
        <v>419</v>
      </c>
      <c r="C79" s="128" t="s">
        <v>31</v>
      </c>
      <c r="D79" s="36" t="s">
        <v>205</v>
      </c>
      <c r="E79" s="128" t="s">
        <v>40</v>
      </c>
      <c r="F79" s="129">
        <v>46227.0</v>
      </c>
      <c r="G79" s="129">
        <v>46227.0</v>
      </c>
      <c r="H79" s="129">
        <v>46227.0</v>
      </c>
      <c r="I79" s="130">
        <v>46227.0</v>
      </c>
      <c r="J79" s="131" t="s">
        <v>160</v>
      </c>
      <c r="K79" s="132"/>
      <c r="L79" s="127" t="s">
        <v>331</v>
      </c>
      <c r="M79" s="134" t="s">
        <v>420</v>
      </c>
    </row>
    <row r="80" ht="40.5" customHeight="1">
      <c r="A80" s="27">
        <v>79.0</v>
      </c>
      <c r="B80" s="127" t="s">
        <v>421</v>
      </c>
      <c r="C80" s="128" t="s">
        <v>31</v>
      </c>
      <c r="D80" s="36" t="s">
        <v>205</v>
      </c>
      <c r="E80" s="128" t="s">
        <v>40</v>
      </c>
      <c r="F80" s="129">
        <v>46227.0</v>
      </c>
      <c r="G80" s="129">
        <v>46227.0</v>
      </c>
      <c r="H80" s="129">
        <v>46227.0</v>
      </c>
      <c r="I80" s="130">
        <v>46227.0</v>
      </c>
      <c r="J80" s="131" t="s">
        <v>160</v>
      </c>
      <c r="K80" s="132"/>
      <c r="L80" s="127" t="s">
        <v>331</v>
      </c>
      <c r="M80" s="134" t="s">
        <v>422</v>
      </c>
    </row>
    <row r="81" ht="40.5" customHeight="1">
      <c r="A81" s="27">
        <v>80.0</v>
      </c>
      <c r="B81" s="127" t="s">
        <v>423</v>
      </c>
      <c r="C81" s="128" t="s">
        <v>31</v>
      </c>
      <c r="D81" s="36" t="s">
        <v>205</v>
      </c>
      <c r="E81" s="128" t="s">
        <v>40</v>
      </c>
      <c r="F81" s="129">
        <v>46227.0</v>
      </c>
      <c r="G81" s="129">
        <v>46227.0</v>
      </c>
      <c r="H81" s="129">
        <v>46227.0</v>
      </c>
      <c r="I81" s="130">
        <v>46227.0</v>
      </c>
      <c r="J81" s="131" t="s">
        <v>160</v>
      </c>
      <c r="K81" s="132"/>
      <c r="L81" s="127" t="s">
        <v>331</v>
      </c>
      <c r="M81" s="134" t="s">
        <v>424</v>
      </c>
    </row>
    <row r="82" ht="40.5" customHeight="1">
      <c r="A82" s="27">
        <v>81.0</v>
      </c>
      <c r="B82" s="127" t="s">
        <v>425</v>
      </c>
      <c r="C82" s="128" t="s">
        <v>31</v>
      </c>
      <c r="D82" s="36" t="s">
        <v>205</v>
      </c>
      <c r="E82" s="128" t="s">
        <v>40</v>
      </c>
      <c r="F82" s="129">
        <v>46227.0</v>
      </c>
      <c r="G82" s="129">
        <v>46227.0</v>
      </c>
      <c r="H82" s="129">
        <v>46227.0</v>
      </c>
      <c r="I82" s="130">
        <v>46227.0</v>
      </c>
      <c r="J82" s="131" t="s">
        <v>160</v>
      </c>
      <c r="K82" s="132"/>
      <c r="L82" s="127" t="s">
        <v>331</v>
      </c>
      <c r="M82" s="134" t="s">
        <v>426</v>
      </c>
    </row>
    <row r="83" ht="40.5" customHeight="1">
      <c r="A83" s="27">
        <v>82.0</v>
      </c>
      <c r="B83" s="127" t="s">
        <v>427</v>
      </c>
      <c r="C83" s="128" t="s">
        <v>31</v>
      </c>
      <c r="D83" s="36" t="s">
        <v>205</v>
      </c>
      <c r="E83" s="128" t="s">
        <v>40</v>
      </c>
      <c r="F83" s="129">
        <v>46227.0</v>
      </c>
      <c r="G83" s="129">
        <v>46227.0</v>
      </c>
      <c r="H83" s="129">
        <v>46227.0</v>
      </c>
      <c r="I83" s="130">
        <v>46227.0</v>
      </c>
      <c r="J83" s="131" t="s">
        <v>160</v>
      </c>
      <c r="K83" s="132"/>
      <c r="L83" s="127" t="s">
        <v>331</v>
      </c>
      <c r="M83" s="134" t="s">
        <v>428</v>
      </c>
    </row>
    <row r="84" ht="40.5" customHeight="1">
      <c r="A84" s="27">
        <v>83.0</v>
      </c>
      <c r="B84" s="127" t="s">
        <v>429</v>
      </c>
      <c r="C84" s="128" t="s">
        <v>31</v>
      </c>
      <c r="D84" s="36" t="s">
        <v>205</v>
      </c>
      <c r="E84" s="128" t="s">
        <v>40</v>
      </c>
      <c r="F84" s="129">
        <v>46227.0</v>
      </c>
      <c r="G84" s="129">
        <v>46227.0</v>
      </c>
      <c r="H84" s="129">
        <v>46227.0</v>
      </c>
      <c r="I84" s="130">
        <v>46227.0</v>
      </c>
      <c r="J84" s="131" t="s">
        <v>160</v>
      </c>
      <c r="K84" s="132"/>
      <c r="L84" s="127" t="s">
        <v>331</v>
      </c>
      <c r="M84" s="134" t="s">
        <v>430</v>
      </c>
    </row>
    <row r="85" ht="40.5" customHeight="1">
      <c r="A85" s="27">
        <v>84.0</v>
      </c>
      <c r="B85" s="127" t="s">
        <v>431</v>
      </c>
      <c r="C85" s="128" t="s">
        <v>31</v>
      </c>
      <c r="D85" s="36" t="s">
        <v>205</v>
      </c>
      <c r="E85" s="128" t="s">
        <v>40</v>
      </c>
      <c r="F85" s="129">
        <v>46227.0</v>
      </c>
      <c r="G85" s="129">
        <v>46227.0</v>
      </c>
      <c r="H85" s="129">
        <v>46227.0</v>
      </c>
      <c r="I85" s="130">
        <v>46227.0</v>
      </c>
      <c r="J85" s="131" t="s">
        <v>160</v>
      </c>
      <c r="K85" s="132"/>
      <c r="L85" s="127" t="s">
        <v>331</v>
      </c>
      <c r="M85" s="134" t="s">
        <v>432</v>
      </c>
    </row>
    <row r="86" ht="40.5" customHeight="1">
      <c r="A86" s="27">
        <v>85.0</v>
      </c>
      <c r="B86" s="127" t="s">
        <v>433</v>
      </c>
      <c r="C86" s="128" t="s">
        <v>31</v>
      </c>
      <c r="D86" s="36" t="s">
        <v>205</v>
      </c>
      <c r="E86" s="128" t="s">
        <v>40</v>
      </c>
      <c r="F86" s="129">
        <v>46227.0</v>
      </c>
      <c r="G86" s="129">
        <v>46227.0</v>
      </c>
      <c r="H86" s="129">
        <v>46227.0</v>
      </c>
      <c r="I86" s="130">
        <v>46227.0</v>
      </c>
      <c r="J86" s="131" t="s">
        <v>160</v>
      </c>
      <c r="K86" s="132"/>
      <c r="L86" s="127" t="s">
        <v>331</v>
      </c>
      <c r="M86" s="134" t="s">
        <v>434</v>
      </c>
    </row>
    <row r="87" ht="40.5" customHeight="1">
      <c r="A87" s="27">
        <v>86.0</v>
      </c>
      <c r="B87" s="127" t="s">
        <v>435</v>
      </c>
      <c r="C87" s="128" t="s">
        <v>31</v>
      </c>
      <c r="D87" s="36" t="s">
        <v>205</v>
      </c>
      <c r="E87" s="128" t="s">
        <v>40</v>
      </c>
      <c r="F87" s="129">
        <v>46227.0</v>
      </c>
      <c r="G87" s="129">
        <v>46227.0</v>
      </c>
      <c r="H87" s="129">
        <v>46227.0</v>
      </c>
      <c r="I87" s="130">
        <v>46227.0</v>
      </c>
      <c r="J87" s="131" t="s">
        <v>160</v>
      </c>
      <c r="K87" s="132"/>
      <c r="L87" s="127" t="s">
        <v>331</v>
      </c>
      <c r="M87" s="134" t="s">
        <v>436</v>
      </c>
    </row>
    <row r="88" ht="40.5" customHeight="1">
      <c r="A88" s="27">
        <v>87.0</v>
      </c>
      <c r="B88" s="127" t="s">
        <v>437</v>
      </c>
      <c r="C88" s="128" t="s">
        <v>31</v>
      </c>
      <c r="D88" s="36" t="s">
        <v>205</v>
      </c>
      <c r="E88" s="128" t="s">
        <v>40</v>
      </c>
      <c r="F88" s="129">
        <v>46227.0</v>
      </c>
      <c r="G88" s="129">
        <v>46227.0</v>
      </c>
      <c r="H88" s="129">
        <v>46227.0</v>
      </c>
      <c r="I88" s="130">
        <v>46227.0</v>
      </c>
      <c r="J88" s="131" t="s">
        <v>160</v>
      </c>
      <c r="K88" s="132"/>
      <c r="L88" s="127" t="s">
        <v>331</v>
      </c>
      <c r="M88" s="134" t="s">
        <v>438</v>
      </c>
    </row>
    <row r="89" ht="40.5" customHeight="1">
      <c r="A89" s="27">
        <v>88.0</v>
      </c>
      <c r="B89" s="127" t="s">
        <v>439</v>
      </c>
      <c r="C89" s="128" t="s">
        <v>31</v>
      </c>
      <c r="D89" s="36" t="s">
        <v>205</v>
      </c>
      <c r="E89" s="128" t="s">
        <v>40</v>
      </c>
      <c r="F89" s="129">
        <v>46227.0</v>
      </c>
      <c r="G89" s="129">
        <v>46227.0</v>
      </c>
      <c r="H89" s="129">
        <v>46227.0</v>
      </c>
      <c r="I89" s="130">
        <v>46227.0</v>
      </c>
      <c r="J89" s="131" t="s">
        <v>160</v>
      </c>
      <c r="K89" s="132"/>
      <c r="L89" s="127" t="s">
        <v>331</v>
      </c>
      <c r="M89" s="134" t="s">
        <v>440</v>
      </c>
    </row>
    <row r="90" ht="40.5" customHeight="1">
      <c r="A90" s="27">
        <v>89.0</v>
      </c>
      <c r="B90" s="127" t="s">
        <v>441</v>
      </c>
      <c r="C90" s="128" t="s">
        <v>31</v>
      </c>
      <c r="D90" s="36" t="s">
        <v>205</v>
      </c>
      <c r="E90" s="128" t="s">
        <v>40</v>
      </c>
      <c r="F90" s="129">
        <v>46227.0</v>
      </c>
      <c r="G90" s="129">
        <v>46227.0</v>
      </c>
      <c r="H90" s="129">
        <v>46227.0</v>
      </c>
      <c r="I90" s="130">
        <v>46227.0</v>
      </c>
      <c r="J90" s="131" t="s">
        <v>160</v>
      </c>
      <c r="K90" s="132"/>
      <c r="L90" s="127" t="s">
        <v>331</v>
      </c>
      <c r="M90" s="134" t="s">
        <v>442</v>
      </c>
    </row>
    <row r="91" ht="40.5" customHeight="1">
      <c r="A91" s="27">
        <v>90.0</v>
      </c>
      <c r="B91" s="127" t="s">
        <v>443</v>
      </c>
      <c r="C91" s="128" t="s">
        <v>72</v>
      </c>
      <c r="D91" s="36" t="s">
        <v>205</v>
      </c>
      <c r="E91" s="128" t="s">
        <v>40</v>
      </c>
      <c r="F91" s="129">
        <v>46227.0</v>
      </c>
      <c r="G91" s="129">
        <v>46227.0</v>
      </c>
      <c r="H91" s="129">
        <v>46227.0</v>
      </c>
      <c r="I91" s="130">
        <v>46227.0</v>
      </c>
      <c r="J91" s="131" t="s">
        <v>160</v>
      </c>
      <c r="K91" s="132"/>
      <c r="L91" s="127" t="s">
        <v>331</v>
      </c>
      <c r="M91" s="134" t="s">
        <v>444</v>
      </c>
    </row>
    <row r="92" ht="40.5" customHeight="1">
      <c r="A92" s="27">
        <v>91.0</v>
      </c>
      <c r="B92" s="127" t="s">
        <v>445</v>
      </c>
      <c r="C92" s="128" t="s">
        <v>31</v>
      </c>
      <c r="D92" s="36" t="s">
        <v>205</v>
      </c>
      <c r="E92" s="128" t="s">
        <v>40</v>
      </c>
      <c r="F92" s="129">
        <v>46230.0</v>
      </c>
      <c r="G92" s="129">
        <v>46230.0</v>
      </c>
      <c r="H92" s="129">
        <v>46230.0</v>
      </c>
      <c r="I92" s="130">
        <v>46230.0</v>
      </c>
      <c r="J92" s="131" t="s">
        <v>160</v>
      </c>
      <c r="K92" s="132"/>
      <c r="L92" s="127" t="s">
        <v>446</v>
      </c>
      <c r="M92" s="134" t="s">
        <v>447</v>
      </c>
    </row>
    <row r="93" ht="40.5" customHeight="1">
      <c r="A93" s="27">
        <v>92.0</v>
      </c>
      <c r="B93" s="127" t="s">
        <v>448</v>
      </c>
      <c r="C93" s="128" t="s">
        <v>61</v>
      </c>
      <c r="D93" s="36" t="s">
        <v>205</v>
      </c>
      <c r="E93" s="128" t="s">
        <v>40</v>
      </c>
      <c r="F93" s="129">
        <v>46230.0</v>
      </c>
      <c r="G93" s="129">
        <v>46230.0</v>
      </c>
      <c r="H93" s="129">
        <v>46230.0</v>
      </c>
      <c r="I93" s="130">
        <v>46230.0</v>
      </c>
      <c r="J93" s="131" t="s">
        <v>160</v>
      </c>
      <c r="K93" s="132"/>
      <c r="L93" s="127" t="s">
        <v>449</v>
      </c>
      <c r="M93" s="134" t="s">
        <v>450</v>
      </c>
    </row>
    <row r="94" ht="40.5" customHeight="1">
      <c r="A94" s="27">
        <v>93.0</v>
      </c>
      <c r="B94" s="127" t="s">
        <v>451</v>
      </c>
      <c r="C94" s="128" t="s">
        <v>31</v>
      </c>
      <c r="D94" s="36" t="s">
        <v>205</v>
      </c>
      <c r="E94" s="128" t="s">
        <v>40</v>
      </c>
      <c r="F94" s="129">
        <v>46230.0</v>
      </c>
      <c r="G94" s="129">
        <v>46230.0</v>
      </c>
      <c r="H94" s="129">
        <v>46230.0</v>
      </c>
      <c r="I94" s="130">
        <v>46230.0</v>
      </c>
      <c r="J94" s="131" t="s">
        <v>160</v>
      </c>
      <c r="K94" s="132"/>
      <c r="L94" s="127" t="s">
        <v>452</v>
      </c>
      <c r="M94" s="134" t="s">
        <v>453</v>
      </c>
    </row>
    <row r="95" ht="40.5" customHeight="1">
      <c r="A95" s="27">
        <v>94.0</v>
      </c>
      <c r="B95" s="127" t="s">
        <v>454</v>
      </c>
      <c r="C95" s="128" t="s">
        <v>61</v>
      </c>
      <c r="D95" s="36" t="s">
        <v>205</v>
      </c>
      <c r="E95" s="128" t="s">
        <v>40</v>
      </c>
      <c r="F95" s="129">
        <v>46230.0</v>
      </c>
      <c r="G95" s="129">
        <v>46230.0</v>
      </c>
      <c r="H95" s="129">
        <v>46230.0</v>
      </c>
      <c r="I95" s="130">
        <v>46230.0</v>
      </c>
      <c r="J95" s="131" t="s">
        <v>160</v>
      </c>
      <c r="K95" s="132"/>
      <c r="L95" s="127" t="s">
        <v>455</v>
      </c>
      <c r="M95" s="134" t="s">
        <v>456</v>
      </c>
    </row>
    <row r="96" ht="40.5" customHeight="1">
      <c r="A96" s="27">
        <v>95.0</v>
      </c>
      <c r="B96" s="127" t="s">
        <v>457</v>
      </c>
      <c r="C96" s="128" t="s">
        <v>72</v>
      </c>
      <c r="D96" s="36" t="s">
        <v>205</v>
      </c>
      <c r="E96" s="128" t="s">
        <v>40</v>
      </c>
      <c r="F96" s="129">
        <v>46230.0</v>
      </c>
      <c r="G96" s="129">
        <v>46230.0</v>
      </c>
      <c r="H96" s="129">
        <v>46230.0</v>
      </c>
      <c r="I96" s="130">
        <v>46230.0</v>
      </c>
      <c r="J96" s="131" t="s">
        <v>160</v>
      </c>
      <c r="K96" s="132"/>
      <c r="L96" s="127" t="s">
        <v>458</v>
      </c>
      <c r="M96" s="134" t="s">
        <v>459</v>
      </c>
    </row>
    <row r="97" ht="40.5" customHeight="1">
      <c r="A97" s="27">
        <v>96.0</v>
      </c>
      <c r="B97" s="127" t="s">
        <v>460</v>
      </c>
      <c r="C97" s="128" t="s">
        <v>31</v>
      </c>
      <c r="D97" s="36" t="s">
        <v>205</v>
      </c>
      <c r="E97" s="128" t="s">
        <v>40</v>
      </c>
      <c r="F97" s="129">
        <v>46230.0</v>
      </c>
      <c r="G97" s="129">
        <v>46230.0</v>
      </c>
      <c r="H97" s="129">
        <v>46230.0</v>
      </c>
      <c r="I97" s="130">
        <v>46230.0</v>
      </c>
      <c r="J97" s="131" t="s">
        <v>160</v>
      </c>
      <c r="K97" s="132"/>
      <c r="L97" s="127" t="s">
        <v>461</v>
      </c>
      <c r="M97" s="134" t="s">
        <v>462</v>
      </c>
    </row>
    <row r="98" ht="40.5" customHeight="1">
      <c r="A98" s="27">
        <v>97.0</v>
      </c>
      <c r="B98" s="127" t="s">
        <v>463</v>
      </c>
      <c r="C98" s="128" t="s">
        <v>72</v>
      </c>
      <c r="D98" s="36" t="s">
        <v>205</v>
      </c>
      <c r="E98" s="128" t="s">
        <v>40</v>
      </c>
      <c r="F98" s="129">
        <v>46230.0</v>
      </c>
      <c r="G98" s="129">
        <v>46230.0</v>
      </c>
      <c r="H98" s="129">
        <v>46230.0</v>
      </c>
      <c r="I98" s="130">
        <v>46230.0</v>
      </c>
      <c r="J98" s="131" t="s">
        <v>160</v>
      </c>
      <c r="K98" s="132"/>
      <c r="L98" s="127" t="s">
        <v>464</v>
      </c>
      <c r="M98" s="134" t="s">
        <v>465</v>
      </c>
    </row>
    <row r="99" ht="40.5" customHeight="1">
      <c r="A99" s="27">
        <v>98.0</v>
      </c>
      <c r="B99" s="127" t="s">
        <v>466</v>
      </c>
      <c r="C99" s="128" t="s">
        <v>72</v>
      </c>
      <c r="D99" s="36" t="s">
        <v>205</v>
      </c>
      <c r="E99" s="128" t="s">
        <v>40</v>
      </c>
      <c r="F99" s="129">
        <v>46231.0</v>
      </c>
      <c r="G99" s="129">
        <v>46231.0</v>
      </c>
      <c r="H99" s="129">
        <v>46231.0</v>
      </c>
      <c r="I99" s="130">
        <v>46231.0</v>
      </c>
      <c r="J99" s="131" t="s">
        <v>160</v>
      </c>
      <c r="K99" s="132"/>
      <c r="L99" s="127" t="s">
        <v>467</v>
      </c>
      <c r="M99" s="134" t="s">
        <v>468</v>
      </c>
    </row>
    <row r="100" ht="40.5" customHeight="1">
      <c r="A100" s="27">
        <v>99.0</v>
      </c>
      <c r="B100" s="127" t="s">
        <v>469</v>
      </c>
      <c r="C100" s="128" t="s">
        <v>61</v>
      </c>
      <c r="D100" s="36" t="s">
        <v>205</v>
      </c>
      <c r="E100" s="128" t="s">
        <v>40</v>
      </c>
      <c r="F100" s="129">
        <v>46231.0</v>
      </c>
      <c r="G100" s="129">
        <v>46231.0</v>
      </c>
      <c r="H100" s="129">
        <v>46231.0</v>
      </c>
      <c r="I100" s="130">
        <v>46231.0</v>
      </c>
      <c r="J100" s="131" t="s">
        <v>160</v>
      </c>
      <c r="K100" s="132"/>
      <c r="L100" s="127" t="s">
        <v>470</v>
      </c>
      <c r="M100" s="134" t="s">
        <v>471</v>
      </c>
    </row>
    <row r="101" ht="40.5" customHeight="1">
      <c r="A101" s="27">
        <v>100.0</v>
      </c>
      <c r="B101" s="127" t="s">
        <v>472</v>
      </c>
      <c r="C101" s="128" t="s">
        <v>31</v>
      </c>
      <c r="D101" s="36" t="s">
        <v>205</v>
      </c>
      <c r="E101" s="128" t="s">
        <v>40</v>
      </c>
      <c r="F101" s="129">
        <v>46231.0</v>
      </c>
      <c r="G101" s="129">
        <v>46231.0</v>
      </c>
      <c r="H101" s="129">
        <v>46231.0</v>
      </c>
      <c r="I101" s="130">
        <v>46231.0</v>
      </c>
      <c r="J101" s="131" t="s">
        <v>160</v>
      </c>
      <c r="K101" s="132"/>
      <c r="L101" s="127" t="s">
        <v>473</v>
      </c>
      <c r="M101" s="134" t="s">
        <v>474</v>
      </c>
    </row>
    <row r="102" ht="40.5" customHeight="1">
      <c r="A102" s="27">
        <v>101.0</v>
      </c>
      <c r="B102" s="127" t="s">
        <v>475</v>
      </c>
      <c r="C102" s="128" t="s">
        <v>61</v>
      </c>
      <c r="D102" s="36" t="s">
        <v>205</v>
      </c>
      <c r="E102" s="128" t="s">
        <v>40</v>
      </c>
      <c r="F102" s="129">
        <v>46232.0</v>
      </c>
      <c r="G102" s="129">
        <v>46232.0</v>
      </c>
      <c r="H102" s="129">
        <v>46232.0</v>
      </c>
      <c r="I102" s="130">
        <v>46232.0</v>
      </c>
      <c r="J102" s="131" t="s">
        <v>160</v>
      </c>
      <c r="K102" s="132"/>
      <c r="L102" s="127" t="s">
        <v>476</v>
      </c>
      <c r="M102" s="134" t="s">
        <v>477</v>
      </c>
    </row>
    <row r="103" ht="40.5" customHeight="1">
      <c r="A103" s="27">
        <v>102.0</v>
      </c>
      <c r="B103" s="127" t="s">
        <v>478</v>
      </c>
      <c r="C103" s="128" t="s">
        <v>31</v>
      </c>
      <c r="D103" s="36" t="s">
        <v>205</v>
      </c>
      <c r="E103" s="128" t="s">
        <v>40</v>
      </c>
      <c r="F103" s="129">
        <v>46232.0</v>
      </c>
      <c r="G103" s="129">
        <v>46232.0</v>
      </c>
      <c r="H103" s="129">
        <v>46232.0</v>
      </c>
      <c r="I103" s="130">
        <v>46232.0</v>
      </c>
      <c r="J103" s="131" t="s">
        <v>160</v>
      </c>
      <c r="K103" s="132"/>
      <c r="L103" s="127" t="s">
        <v>479</v>
      </c>
      <c r="M103" s="134" t="s">
        <v>480</v>
      </c>
    </row>
    <row r="104" ht="40.5" customHeight="1">
      <c r="A104" s="27">
        <v>103.0</v>
      </c>
      <c r="B104" s="127" t="s">
        <v>481</v>
      </c>
      <c r="C104" s="128" t="s">
        <v>72</v>
      </c>
      <c r="D104" s="36" t="s">
        <v>205</v>
      </c>
      <c r="E104" s="128" t="s">
        <v>40</v>
      </c>
      <c r="F104" s="129">
        <v>46232.0</v>
      </c>
      <c r="G104" s="129">
        <v>46232.0</v>
      </c>
      <c r="H104" s="129">
        <v>46232.0</v>
      </c>
      <c r="I104" s="130">
        <v>46232.0</v>
      </c>
      <c r="J104" s="131" t="s">
        <v>160</v>
      </c>
      <c r="K104" s="132"/>
      <c r="L104" s="127" t="s">
        <v>482</v>
      </c>
      <c r="M104" s="134" t="s">
        <v>483</v>
      </c>
    </row>
    <row r="105" ht="40.5" customHeight="1">
      <c r="A105" s="27">
        <v>104.0</v>
      </c>
      <c r="B105" s="127" t="s">
        <v>484</v>
      </c>
      <c r="C105" s="128" t="s">
        <v>31</v>
      </c>
      <c r="D105" s="36" t="s">
        <v>205</v>
      </c>
      <c r="E105" s="128" t="s">
        <v>40</v>
      </c>
      <c r="F105" s="129">
        <v>46232.0</v>
      </c>
      <c r="G105" s="129">
        <v>46232.0</v>
      </c>
      <c r="H105" s="129">
        <v>46232.0</v>
      </c>
      <c r="I105" s="130">
        <v>46232.0</v>
      </c>
      <c r="J105" s="131" t="s">
        <v>160</v>
      </c>
      <c r="K105" s="132"/>
      <c r="L105" s="127" t="s">
        <v>485</v>
      </c>
      <c r="M105" s="134" t="s">
        <v>486</v>
      </c>
    </row>
    <row r="106" ht="40.5" customHeight="1">
      <c r="A106" s="27">
        <v>105.0</v>
      </c>
      <c r="B106" s="127" t="s">
        <v>487</v>
      </c>
      <c r="C106" s="128" t="s">
        <v>31</v>
      </c>
      <c r="D106" s="36" t="s">
        <v>205</v>
      </c>
      <c r="E106" s="128" t="s">
        <v>40</v>
      </c>
      <c r="F106" s="129">
        <v>46232.0</v>
      </c>
      <c r="G106" s="129">
        <v>46232.0</v>
      </c>
      <c r="H106" s="129">
        <v>46232.0</v>
      </c>
      <c r="I106" s="130">
        <v>46232.0</v>
      </c>
      <c r="J106" s="131" t="s">
        <v>160</v>
      </c>
      <c r="K106" s="132"/>
      <c r="L106" s="127" t="s">
        <v>488</v>
      </c>
      <c r="M106" s="134" t="s">
        <v>489</v>
      </c>
    </row>
    <row r="107" ht="40.5" customHeight="1">
      <c r="A107" s="27">
        <v>106.0</v>
      </c>
      <c r="B107" s="127" t="s">
        <v>490</v>
      </c>
      <c r="C107" s="128" t="s">
        <v>61</v>
      </c>
      <c r="D107" s="36" t="s">
        <v>205</v>
      </c>
      <c r="E107" s="128" t="s">
        <v>40</v>
      </c>
      <c r="F107" s="129">
        <v>46232.0</v>
      </c>
      <c r="G107" s="129">
        <v>46232.0</v>
      </c>
      <c r="H107" s="129">
        <v>46232.0</v>
      </c>
      <c r="I107" s="130">
        <v>46232.0</v>
      </c>
      <c r="J107" s="131" t="s">
        <v>160</v>
      </c>
      <c r="K107" s="132"/>
      <c r="L107" s="127" t="s">
        <v>331</v>
      </c>
      <c r="M107" s="134" t="s">
        <v>491</v>
      </c>
    </row>
    <row r="108" ht="40.5" customHeight="1">
      <c r="A108" s="27">
        <v>107.0</v>
      </c>
      <c r="B108" s="127" t="s">
        <v>492</v>
      </c>
      <c r="C108" s="128" t="s">
        <v>31</v>
      </c>
      <c r="D108" s="36" t="s">
        <v>205</v>
      </c>
      <c r="E108" s="128" t="s">
        <v>40</v>
      </c>
      <c r="F108" s="129">
        <v>46233.0</v>
      </c>
      <c r="G108" s="129">
        <v>46233.0</v>
      </c>
      <c r="H108" s="129">
        <v>46233.0</v>
      </c>
      <c r="I108" s="130">
        <v>46233.0</v>
      </c>
      <c r="J108" s="131" t="s">
        <v>160</v>
      </c>
      <c r="K108" s="132"/>
      <c r="L108" s="127" t="s">
        <v>493</v>
      </c>
      <c r="M108" s="134" t="s">
        <v>494</v>
      </c>
    </row>
    <row r="109" ht="40.5" customHeight="1">
      <c r="A109" s="27">
        <v>108.0</v>
      </c>
      <c r="B109" s="127" t="s">
        <v>495</v>
      </c>
      <c r="C109" s="128" t="s">
        <v>31</v>
      </c>
      <c r="D109" s="36" t="s">
        <v>205</v>
      </c>
      <c r="E109" s="128" t="s">
        <v>40</v>
      </c>
      <c r="F109" s="129">
        <v>46233.0</v>
      </c>
      <c r="G109" s="129">
        <v>46233.0</v>
      </c>
      <c r="H109" s="129">
        <v>46233.0</v>
      </c>
      <c r="I109" s="130">
        <v>46233.0</v>
      </c>
      <c r="J109" s="131" t="s">
        <v>160</v>
      </c>
      <c r="K109" s="132"/>
      <c r="L109" s="127" t="s">
        <v>496</v>
      </c>
      <c r="M109" s="134" t="s">
        <v>497</v>
      </c>
    </row>
    <row r="110" ht="40.5" customHeight="1">
      <c r="A110" s="27">
        <v>109.0</v>
      </c>
      <c r="B110" s="127" t="s">
        <v>498</v>
      </c>
      <c r="C110" s="128" t="s">
        <v>72</v>
      </c>
      <c r="D110" s="36" t="s">
        <v>205</v>
      </c>
      <c r="E110" s="128" t="s">
        <v>40</v>
      </c>
      <c r="F110" s="129">
        <v>46233.0</v>
      </c>
      <c r="G110" s="129">
        <v>46233.0</v>
      </c>
      <c r="H110" s="129">
        <v>46233.0</v>
      </c>
      <c r="I110" s="130">
        <v>46233.0</v>
      </c>
      <c r="J110" s="131" t="s">
        <v>160</v>
      </c>
      <c r="K110" s="132"/>
      <c r="L110" s="127" t="s">
        <v>499</v>
      </c>
      <c r="M110" s="134" t="s">
        <v>500</v>
      </c>
    </row>
    <row r="111" ht="40.5" customHeight="1">
      <c r="A111" s="27">
        <v>110.0</v>
      </c>
      <c r="B111" s="127" t="s">
        <v>501</v>
      </c>
      <c r="C111" s="128" t="s">
        <v>31</v>
      </c>
      <c r="D111" s="36" t="s">
        <v>205</v>
      </c>
      <c r="E111" s="128" t="s">
        <v>40</v>
      </c>
      <c r="F111" s="129">
        <v>46233.0</v>
      </c>
      <c r="G111" s="129">
        <v>46233.0</v>
      </c>
      <c r="H111" s="129">
        <v>46233.0</v>
      </c>
      <c r="I111" s="130">
        <v>46233.0</v>
      </c>
      <c r="J111" s="131" t="s">
        <v>160</v>
      </c>
      <c r="K111" s="132"/>
      <c r="L111" s="127" t="s">
        <v>502</v>
      </c>
      <c r="M111" s="134" t="s">
        <v>503</v>
      </c>
    </row>
    <row r="112" ht="40.5" customHeight="1">
      <c r="A112" s="27">
        <v>111.0</v>
      </c>
      <c r="B112" s="127" t="s">
        <v>504</v>
      </c>
      <c r="C112" s="128" t="s">
        <v>31</v>
      </c>
      <c r="D112" s="36" t="s">
        <v>205</v>
      </c>
      <c r="E112" s="128" t="s">
        <v>40</v>
      </c>
      <c r="F112" s="129">
        <v>46233.0</v>
      </c>
      <c r="G112" s="129">
        <v>46233.0</v>
      </c>
      <c r="H112" s="129">
        <v>46233.0</v>
      </c>
      <c r="I112" s="130">
        <v>46233.0</v>
      </c>
      <c r="J112" s="131" t="s">
        <v>160</v>
      </c>
      <c r="K112" s="132"/>
      <c r="L112" s="127" t="s">
        <v>505</v>
      </c>
      <c r="M112" s="134" t="s">
        <v>506</v>
      </c>
    </row>
    <row r="113" ht="40.5" customHeight="1">
      <c r="A113" s="27">
        <v>112.0</v>
      </c>
      <c r="B113" s="127" t="s">
        <v>507</v>
      </c>
      <c r="C113" s="128" t="s">
        <v>31</v>
      </c>
      <c r="D113" s="36" t="s">
        <v>205</v>
      </c>
      <c r="E113" s="128" t="s">
        <v>40</v>
      </c>
      <c r="F113" s="129">
        <v>46234.0</v>
      </c>
      <c r="G113" s="129">
        <v>46234.0</v>
      </c>
      <c r="H113" s="129">
        <v>46234.0</v>
      </c>
      <c r="I113" s="130">
        <v>46234.0</v>
      </c>
      <c r="J113" s="131" t="s">
        <v>160</v>
      </c>
      <c r="K113" s="132"/>
      <c r="L113" s="127" t="s">
        <v>508</v>
      </c>
      <c r="M113" s="134" t="s">
        <v>509</v>
      </c>
    </row>
    <row r="114" ht="40.5" customHeight="1">
      <c r="A114" s="27">
        <v>113.0</v>
      </c>
      <c r="B114" s="127" t="s">
        <v>510</v>
      </c>
      <c r="C114" s="128" t="s">
        <v>72</v>
      </c>
      <c r="D114" s="36" t="s">
        <v>205</v>
      </c>
      <c r="E114" s="128" t="s">
        <v>40</v>
      </c>
      <c r="F114" s="129">
        <v>46234.0</v>
      </c>
      <c r="G114" s="129">
        <v>46234.0</v>
      </c>
      <c r="H114" s="129">
        <v>46234.0</v>
      </c>
      <c r="I114" s="130">
        <v>46234.0</v>
      </c>
      <c r="J114" s="131" t="s">
        <v>160</v>
      </c>
      <c r="K114" s="132"/>
      <c r="L114" s="127" t="s">
        <v>511</v>
      </c>
      <c r="M114" s="134" t="s">
        <v>512</v>
      </c>
    </row>
    <row r="115" ht="40.5" customHeight="1">
      <c r="A115" s="27">
        <v>114.0</v>
      </c>
      <c r="B115" s="127" t="s">
        <v>513</v>
      </c>
      <c r="C115" s="128" t="s">
        <v>31</v>
      </c>
      <c r="D115" s="36" t="s">
        <v>205</v>
      </c>
      <c r="E115" s="128" t="s">
        <v>40</v>
      </c>
      <c r="F115" s="129">
        <v>46237.0</v>
      </c>
      <c r="G115" s="129">
        <v>46237.0</v>
      </c>
      <c r="H115" s="129">
        <v>46237.0</v>
      </c>
      <c r="I115" s="130">
        <v>46237.0</v>
      </c>
      <c r="J115" s="131" t="s">
        <v>160</v>
      </c>
      <c r="K115" s="132"/>
      <c r="L115" s="127" t="s">
        <v>514</v>
      </c>
      <c r="M115" s="134" t="s">
        <v>515</v>
      </c>
    </row>
    <row r="116" ht="40.5" customHeight="1">
      <c r="A116" s="27">
        <v>115.0</v>
      </c>
      <c r="B116" s="127" t="s">
        <v>516</v>
      </c>
      <c r="C116" s="128" t="s">
        <v>61</v>
      </c>
      <c r="D116" s="36" t="s">
        <v>205</v>
      </c>
      <c r="E116" s="128" t="s">
        <v>40</v>
      </c>
      <c r="F116" s="129">
        <v>46237.0</v>
      </c>
      <c r="G116" s="129">
        <v>46237.0</v>
      </c>
      <c r="H116" s="129">
        <v>46237.0</v>
      </c>
      <c r="I116" s="130">
        <v>46237.0</v>
      </c>
      <c r="J116" s="131" t="s">
        <v>160</v>
      </c>
      <c r="K116" s="132"/>
      <c r="L116" s="127" t="s">
        <v>517</v>
      </c>
      <c r="M116" s="134" t="s">
        <v>518</v>
      </c>
    </row>
    <row r="117" ht="40.5" customHeight="1">
      <c r="A117" s="27">
        <v>116.0</v>
      </c>
      <c r="B117" s="127" t="s">
        <v>519</v>
      </c>
      <c r="C117" s="128" t="s">
        <v>31</v>
      </c>
      <c r="D117" s="36" t="s">
        <v>205</v>
      </c>
      <c r="E117" s="128" t="s">
        <v>40</v>
      </c>
      <c r="F117" s="129">
        <v>46237.0</v>
      </c>
      <c r="G117" s="129">
        <v>46237.0</v>
      </c>
      <c r="H117" s="129">
        <v>46237.0</v>
      </c>
      <c r="I117" s="130">
        <v>46237.0</v>
      </c>
      <c r="J117" s="131" t="s">
        <v>160</v>
      </c>
      <c r="K117" s="132"/>
      <c r="L117" s="127" t="s">
        <v>520</v>
      </c>
      <c r="M117" s="134" t="s">
        <v>521</v>
      </c>
    </row>
    <row r="118" ht="40.5" customHeight="1">
      <c r="A118" s="27">
        <v>117.0</v>
      </c>
      <c r="B118" s="127" t="s">
        <v>522</v>
      </c>
      <c r="C118" s="128" t="s">
        <v>31</v>
      </c>
      <c r="D118" s="36" t="s">
        <v>205</v>
      </c>
      <c r="E118" s="128" t="s">
        <v>40</v>
      </c>
      <c r="F118" s="129">
        <v>46237.0</v>
      </c>
      <c r="G118" s="129">
        <v>46237.0</v>
      </c>
      <c r="H118" s="129">
        <v>46237.0</v>
      </c>
      <c r="I118" s="130">
        <v>46237.0</v>
      </c>
      <c r="J118" s="131" t="s">
        <v>160</v>
      </c>
      <c r="K118" s="132"/>
      <c r="L118" s="127" t="s">
        <v>523</v>
      </c>
      <c r="M118" s="134" t="s">
        <v>524</v>
      </c>
    </row>
    <row r="119" ht="40.5" customHeight="1">
      <c r="A119" s="27">
        <v>118.0</v>
      </c>
      <c r="B119" s="127" t="s">
        <v>525</v>
      </c>
      <c r="C119" s="128" t="s">
        <v>31</v>
      </c>
      <c r="D119" s="36" t="s">
        <v>205</v>
      </c>
      <c r="E119" s="128" t="s">
        <v>40</v>
      </c>
      <c r="F119" s="129">
        <v>46237.0</v>
      </c>
      <c r="G119" s="129">
        <v>46237.0</v>
      </c>
      <c r="H119" s="129">
        <v>46237.0</v>
      </c>
      <c r="I119" s="130">
        <v>46237.0</v>
      </c>
      <c r="J119" s="131" t="s">
        <v>160</v>
      </c>
      <c r="K119" s="132"/>
      <c r="L119" s="127" t="s">
        <v>526</v>
      </c>
      <c r="M119" s="134" t="s">
        <v>527</v>
      </c>
    </row>
    <row r="120" ht="40.5" customHeight="1">
      <c r="A120" s="27">
        <v>119.0</v>
      </c>
      <c r="B120" s="127" t="s">
        <v>528</v>
      </c>
      <c r="C120" s="128" t="s">
        <v>72</v>
      </c>
      <c r="D120" s="36" t="s">
        <v>205</v>
      </c>
      <c r="E120" s="128" t="s">
        <v>40</v>
      </c>
      <c r="F120" s="129">
        <v>46237.0</v>
      </c>
      <c r="G120" s="129">
        <v>46237.0</v>
      </c>
      <c r="H120" s="129">
        <v>46237.0</v>
      </c>
      <c r="I120" s="130">
        <v>46237.0</v>
      </c>
      <c r="J120" s="131" t="s">
        <v>160</v>
      </c>
      <c r="K120" s="132"/>
      <c r="L120" s="127" t="s">
        <v>529</v>
      </c>
      <c r="M120" s="134" t="s">
        <v>530</v>
      </c>
    </row>
    <row r="121" ht="40.5" customHeight="1">
      <c r="A121" s="27">
        <v>120.0</v>
      </c>
      <c r="B121" s="127" t="s">
        <v>531</v>
      </c>
      <c r="C121" s="128" t="s">
        <v>72</v>
      </c>
      <c r="D121" s="36" t="s">
        <v>205</v>
      </c>
      <c r="E121" s="128" t="s">
        <v>40</v>
      </c>
      <c r="F121" s="129">
        <v>46237.0</v>
      </c>
      <c r="G121" s="129">
        <v>46237.0</v>
      </c>
      <c r="H121" s="129">
        <v>46237.0</v>
      </c>
      <c r="I121" s="130">
        <v>46237.0</v>
      </c>
      <c r="J121" s="131" t="s">
        <v>160</v>
      </c>
      <c r="K121" s="132"/>
      <c r="L121" s="127" t="s">
        <v>331</v>
      </c>
      <c r="M121" s="134" t="s">
        <v>532</v>
      </c>
    </row>
    <row r="122" ht="40.5" customHeight="1">
      <c r="A122" s="27">
        <v>121.0</v>
      </c>
      <c r="B122" s="127" t="s">
        <v>533</v>
      </c>
      <c r="C122" s="128" t="s">
        <v>72</v>
      </c>
      <c r="D122" s="36" t="s">
        <v>205</v>
      </c>
      <c r="E122" s="128" t="s">
        <v>40</v>
      </c>
      <c r="F122" s="129">
        <v>46238.0</v>
      </c>
      <c r="G122" s="129">
        <v>46238.0</v>
      </c>
      <c r="H122" s="129">
        <v>46238.0</v>
      </c>
      <c r="I122" s="130">
        <v>46238.0</v>
      </c>
      <c r="J122" s="131" t="s">
        <v>160</v>
      </c>
      <c r="K122" s="132"/>
      <c r="L122" s="127" t="s">
        <v>534</v>
      </c>
      <c r="M122" s="134" t="s">
        <v>535</v>
      </c>
    </row>
    <row r="123" ht="40.5" customHeight="1">
      <c r="A123" s="27">
        <v>122.0</v>
      </c>
      <c r="B123" s="127" t="s">
        <v>536</v>
      </c>
      <c r="C123" s="128" t="s">
        <v>31</v>
      </c>
      <c r="D123" s="36" t="s">
        <v>205</v>
      </c>
      <c r="E123" s="128" t="s">
        <v>40</v>
      </c>
      <c r="F123" s="129">
        <v>46238.0</v>
      </c>
      <c r="G123" s="129">
        <v>46238.0</v>
      </c>
      <c r="H123" s="129">
        <v>46238.0</v>
      </c>
      <c r="I123" s="130">
        <v>46238.0</v>
      </c>
      <c r="J123" s="131" t="s">
        <v>160</v>
      </c>
      <c r="K123" s="132"/>
      <c r="L123" s="127" t="s">
        <v>537</v>
      </c>
      <c r="M123" s="134" t="s">
        <v>538</v>
      </c>
    </row>
    <row r="124" ht="40.5" customHeight="1">
      <c r="A124" s="27">
        <v>123.0</v>
      </c>
      <c r="B124" s="127" t="s">
        <v>539</v>
      </c>
      <c r="C124" s="128" t="s">
        <v>31</v>
      </c>
      <c r="D124" s="36" t="s">
        <v>205</v>
      </c>
      <c r="E124" s="128" t="s">
        <v>40</v>
      </c>
      <c r="F124" s="129">
        <v>46238.0</v>
      </c>
      <c r="G124" s="129">
        <v>46238.0</v>
      </c>
      <c r="H124" s="129">
        <v>46238.0</v>
      </c>
      <c r="I124" s="130">
        <v>46238.0</v>
      </c>
      <c r="J124" s="131" t="s">
        <v>160</v>
      </c>
      <c r="K124" s="132"/>
      <c r="L124" s="127" t="s">
        <v>540</v>
      </c>
      <c r="M124" s="134" t="s">
        <v>541</v>
      </c>
    </row>
    <row r="125" ht="40.5" customHeight="1">
      <c r="A125" s="27">
        <v>124.0</v>
      </c>
      <c r="B125" s="127" t="s">
        <v>542</v>
      </c>
      <c r="C125" s="128" t="s">
        <v>61</v>
      </c>
      <c r="D125" s="36" t="s">
        <v>205</v>
      </c>
      <c r="E125" s="128" t="s">
        <v>40</v>
      </c>
      <c r="F125" s="129">
        <v>46238.0</v>
      </c>
      <c r="G125" s="129">
        <v>46238.0</v>
      </c>
      <c r="H125" s="129">
        <v>46238.0</v>
      </c>
      <c r="I125" s="130">
        <v>46238.0</v>
      </c>
      <c r="J125" s="131" t="s">
        <v>160</v>
      </c>
      <c r="K125" s="132"/>
      <c r="L125" s="127" t="s">
        <v>543</v>
      </c>
      <c r="M125" s="134" t="s">
        <v>544</v>
      </c>
    </row>
    <row r="126" ht="40.5" customHeight="1">
      <c r="A126" s="27">
        <v>125.0</v>
      </c>
      <c r="B126" s="127" t="s">
        <v>545</v>
      </c>
      <c r="C126" s="128" t="s">
        <v>31</v>
      </c>
      <c r="D126" s="36" t="s">
        <v>205</v>
      </c>
      <c r="E126" s="128" t="s">
        <v>40</v>
      </c>
      <c r="F126" s="129">
        <v>46238.0</v>
      </c>
      <c r="G126" s="129">
        <v>46238.0</v>
      </c>
      <c r="H126" s="129">
        <v>46238.0</v>
      </c>
      <c r="I126" s="130">
        <v>46238.0</v>
      </c>
      <c r="J126" s="131" t="s">
        <v>160</v>
      </c>
      <c r="K126" s="132"/>
      <c r="L126" s="127" t="s">
        <v>546</v>
      </c>
      <c r="M126" s="134" t="s">
        <v>547</v>
      </c>
    </row>
    <row r="127" ht="40.5" customHeight="1">
      <c r="A127" s="27">
        <v>126.0</v>
      </c>
      <c r="B127" s="127" t="s">
        <v>548</v>
      </c>
      <c r="C127" s="128" t="s">
        <v>72</v>
      </c>
      <c r="D127" s="36" t="s">
        <v>205</v>
      </c>
      <c r="E127" s="128" t="s">
        <v>40</v>
      </c>
      <c r="F127" s="129">
        <v>46238.0</v>
      </c>
      <c r="G127" s="129">
        <v>46238.0</v>
      </c>
      <c r="H127" s="129">
        <v>46238.0</v>
      </c>
      <c r="I127" s="130">
        <v>46238.0</v>
      </c>
      <c r="J127" s="131" t="s">
        <v>160</v>
      </c>
      <c r="K127" s="132"/>
      <c r="L127" s="127" t="s">
        <v>549</v>
      </c>
      <c r="M127" s="134" t="s">
        <v>550</v>
      </c>
    </row>
    <row r="128" ht="40.5" customHeight="1">
      <c r="A128" s="27">
        <v>127.0</v>
      </c>
      <c r="B128" s="127" t="s">
        <v>551</v>
      </c>
      <c r="C128" s="128" t="s">
        <v>72</v>
      </c>
      <c r="D128" s="36" t="s">
        <v>205</v>
      </c>
      <c r="E128" s="128" t="s">
        <v>40</v>
      </c>
      <c r="F128" s="129">
        <v>46238.0</v>
      </c>
      <c r="G128" s="129">
        <v>46238.0</v>
      </c>
      <c r="H128" s="129">
        <v>46238.0</v>
      </c>
      <c r="I128" s="130">
        <v>46238.0</v>
      </c>
      <c r="J128" s="131" t="s">
        <v>160</v>
      </c>
      <c r="K128" s="132"/>
      <c r="L128" s="127" t="s">
        <v>331</v>
      </c>
      <c r="M128" s="134" t="s">
        <v>552</v>
      </c>
    </row>
    <row r="129" ht="40.5" customHeight="1">
      <c r="A129" s="27">
        <v>128.0</v>
      </c>
      <c r="B129" s="127" t="s">
        <v>553</v>
      </c>
      <c r="C129" s="128" t="s">
        <v>72</v>
      </c>
      <c r="D129" s="36" t="s">
        <v>205</v>
      </c>
      <c r="E129" s="128" t="s">
        <v>40</v>
      </c>
      <c r="F129" s="129">
        <v>46238.0</v>
      </c>
      <c r="G129" s="129">
        <v>46238.0</v>
      </c>
      <c r="H129" s="129">
        <v>46238.0</v>
      </c>
      <c r="I129" s="130">
        <v>46238.0</v>
      </c>
      <c r="J129" s="131" t="s">
        <v>160</v>
      </c>
      <c r="K129" s="132"/>
      <c r="L129" s="127" t="s">
        <v>331</v>
      </c>
      <c r="M129" s="134" t="s">
        <v>554</v>
      </c>
    </row>
    <row r="130" ht="40.5" customHeight="1">
      <c r="A130" s="27">
        <v>129.0</v>
      </c>
      <c r="B130" s="127" t="s">
        <v>555</v>
      </c>
      <c r="C130" s="128" t="s">
        <v>72</v>
      </c>
      <c r="D130" s="36" t="s">
        <v>205</v>
      </c>
      <c r="E130" s="128" t="s">
        <v>40</v>
      </c>
      <c r="F130" s="129">
        <v>46238.0</v>
      </c>
      <c r="G130" s="129">
        <v>46238.0</v>
      </c>
      <c r="H130" s="129">
        <v>46238.0</v>
      </c>
      <c r="I130" s="130">
        <v>46238.0</v>
      </c>
      <c r="J130" s="131" t="s">
        <v>160</v>
      </c>
      <c r="K130" s="132"/>
      <c r="L130" s="127" t="s">
        <v>331</v>
      </c>
      <c r="M130" s="134" t="s">
        <v>556</v>
      </c>
    </row>
    <row r="131" ht="40.5" customHeight="1">
      <c r="A131" s="27">
        <v>130.0</v>
      </c>
      <c r="B131" s="127" t="s">
        <v>557</v>
      </c>
      <c r="C131" s="128" t="s">
        <v>72</v>
      </c>
      <c r="D131" s="36" t="s">
        <v>205</v>
      </c>
      <c r="E131" s="128" t="s">
        <v>40</v>
      </c>
      <c r="F131" s="129">
        <v>46239.0</v>
      </c>
      <c r="G131" s="129">
        <v>46239.0</v>
      </c>
      <c r="H131" s="129">
        <v>46239.0</v>
      </c>
      <c r="I131" s="130">
        <v>46239.0</v>
      </c>
      <c r="J131" s="131" t="s">
        <v>160</v>
      </c>
      <c r="K131" s="132"/>
      <c r="L131" s="127" t="s">
        <v>558</v>
      </c>
      <c r="M131" s="134" t="s">
        <v>559</v>
      </c>
    </row>
    <row r="132" ht="40.5" customHeight="1">
      <c r="A132" s="27">
        <v>131.0</v>
      </c>
      <c r="B132" s="127" t="s">
        <v>560</v>
      </c>
      <c r="C132" s="128" t="s">
        <v>72</v>
      </c>
      <c r="D132" s="36" t="s">
        <v>205</v>
      </c>
      <c r="E132" s="128" t="s">
        <v>40</v>
      </c>
      <c r="F132" s="129">
        <v>46239.0</v>
      </c>
      <c r="G132" s="129">
        <v>46239.0</v>
      </c>
      <c r="H132" s="129">
        <v>46239.0</v>
      </c>
      <c r="I132" s="130">
        <v>46239.0</v>
      </c>
      <c r="J132" s="131" t="s">
        <v>160</v>
      </c>
      <c r="K132" s="132"/>
      <c r="L132" s="127" t="s">
        <v>561</v>
      </c>
      <c r="M132" s="134" t="s">
        <v>562</v>
      </c>
    </row>
    <row r="133" ht="40.5" customHeight="1">
      <c r="A133" s="27">
        <v>132.0</v>
      </c>
      <c r="B133" s="127" t="s">
        <v>563</v>
      </c>
      <c r="C133" s="128" t="s">
        <v>72</v>
      </c>
      <c r="D133" s="36" t="s">
        <v>205</v>
      </c>
      <c r="E133" s="128" t="s">
        <v>40</v>
      </c>
      <c r="F133" s="129">
        <v>46239.0</v>
      </c>
      <c r="G133" s="129">
        <v>46239.0</v>
      </c>
      <c r="H133" s="129">
        <v>46239.0</v>
      </c>
      <c r="I133" s="130">
        <v>46239.0</v>
      </c>
      <c r="J133" s="131" t="s">
        <v>160</v>
      </c>
      <c r="K133" s="132"/>
      <c r="L133" s="127" t="s">
        <v>564</v>
      </c>
      <c r="M133" s="134" t="s">
        <v>565</v>
      </c>
    </row>
    <row r="134" ht="40.5" customHeight="1">
      <c r="A134" s="27">
        <v>133.0</v>
      </c>
      <c r="B134" s="127" t="s">
        <v>566</v>
      </c>
      <c r="C134" s="128" t="s">
        <v>61</v>
      </c>
      <c r="D134" s="36" t="s">
        <v>205</v>
      </c>
      <c r="E134" s="128" t="s">
        <v>40</v>
      </c>
      <c r="F134" s="129">
        <v>46241.0</v>
      </c>
      <c r="G134" s="129">
        <v>46241.0</v>
      </c>
      <c r="H134" s="129">
        <v>46241.0</v>
      </c>
      <c r="I134" s="130">
        <v>46241.0</v>
      </c>
      <c r="J134" s="131" t="s">
        <v>160</v>
      </c>
      <c r="K134" s="132"/>
      <c r="L134" s="127" t="s">
        <v>567</v>
      </c>
      <c r="M134" s="134" t="s">
        <v>568</v>
      </c>
    </row>
    <row r="135" ht="40.5" customHeight="1">
      <c r="A135" s="27">
        <v>134.0</v>
      </c>
      <c r="B135" s="127" t="s">
        <v>569</v>
      </c>
      <c r="C135" s="128" t="s">
        <v>61</v>
      </c>
      <c r="D135" s="36" t="s">
        <v>205</v>
      </c>
      <c r="E135" s="128" t="s">
        <v>40</v>
      </c>
      <c r="F135" s="129">
        <v>46241.0</v>
      </c>
      <c r="G135" s="129">
        <v>46241.0</v>
      </c>
      <c r="H135" s="129">
        <v>46241.0</v>
      </c>
      <c r="I135" s="130">
        <v>46241.0</v>
      </c>
      <c r="J135" s="131" t="s">
        <v>160</v>
      </c>
      <c r="K135" s="132"/>
      <c r="L135" s="127" t="s">
        <v>331</v>
      </c>
      <c r="M135" s="134" t="s">
        <v>570</v>
      </c>
    </row>
    <row r="136" ht="40.5" customHeight="1">
      <c r="A136" s="27">
        <v>135.0</v>
      </c>
      <c r="B136" s="127" t="s">
        <v>571</v>
      </c>
      <c r="C136" s="128" t="s">
        <v>72</v>
      </c>
      <c r="D136" s="36" t="s">
        <v>205</v>
      </c>
      <c r="E136" s="128" t="s">
        <v>40</v>
      </c>
      <c r="F136" s="129">
        <v>46244.0</v>
      </c>
      <c r="G136" s="129">
        <v>46244.0</v>
      </c>
      <c r="H136" s="129">
        <v>46244.0</v>
      </c>
      <c r="I136" s="130">
        <v>46244.0</v>
      </c>
      <c r="J136" s="131" t="s">
        <v>160</v>
      </c>
      <c r="K136" s="132"/>
      <c r="L136" s="127" t="s">
        <v>572</v>
      </c>
      <c r="M136" s="134" t="s">
        <v>573</v>
      </c>
    </row>
    <row r="137" ht="40.5" customHeight="1">
      <c r="A137" s="27">
        <v>136.0</v>
      </c>
      <c r="B137" s="127" t="s">
        <v>574</v>
      </c>
      <c r="C137" s="128" t="s">
        <v>31</v>
      </c>
      <c r="D137" s="36" t="s">
        <v>205</v>
      </c>
      <c r="E137" s="128" t="s">
        <v>40</v>
      </c>
      <c r="F137" s="129">
        <v>46244.0</v>
      </c>
      <c r="G137" s="129">
        <v>46244.0</v>
      </c>
      <c r="H137" s="129">
        <v>46244.0</v>
      </c>
      <c r="I137" s="130">
        <v>46244.0</v>
      </c>
      <c r="J137" s="131" t="s">
        <v>160</v>
      </c>
      <c r="K137" s="132"/>
      <c r="L137" s="127" t="s">
        <v>575</v>
      </c>
      <c r="M137" s="134" t="s">
        <v>576</v>
      </c>
    </row>
    <row r="138" ht="40.5" customHeight="1">
      <c r="A138" s="27">
        <v>137.0</v>
      </c>
      <c r="B138" s="127" t="s">
        <v>577</v>
      </c>
      <c r="C138" s="128" t="s">
        <v>72</v>
      </c>
      <c r="D138" s="36" t="s">
        <v>205</v>
      </c>
      <c r="E138" s="128" t="s">
        <v>40</v>
      </c>
      <c r="F138" s="129">
        <v>46244.0</v>
      </c>
      <c r="G138" s="129">
        <v>46244.0</v>
      </c>
      <c r="H138" s="129">
        <v>46244.0</v>
      </c>
      <c r="I138" s="130">
        <v>46244.0</v>
      </c>
      <c r="J138" s="131" t="s">
        <v>160</v>
      </c>
      <c r="K138" s="132"/>
      <c r="L138" s="127" t="s">
        <v>578</v>
      </c>
      <c r="M138" s="134" t="s">
        <v>579</v>
      </c>
    </row>
    <row r="139" ht="40.5" customHeight="1">
      <c r="A139" s="27">
        <v>138.0</v>
      </c>
      <c r="B139" s="127" t="s">
        <v>580</v>
      </c>
      <c r="C139" s="128" t="s">
        <v>72</v>
      </c>
      <c r="D139" s="36" t="s">
        <v>205</v>
      </c>
      <c r="E139" s="128" t="s">
        <v>40</v>
      </c>
      <c r="F139" s="129">
        <v>46244.0</v>
      </c>
      <c r="G139" s="129">
        <v>46244.0</v>
      </c>
      <c r="H139" s="129">
        <v>46244.0</v>
      </c>
      <c r="I139" s="130">
        <v>46244.0</v>
      </c>
      <c r="J139" s="131" t="s">
        <v>160</v>
      </c>
      <c r="K139" s="132"/>
      <c r="L139" s="127" t="s">
        <v>581</v>
      </c>
      <c r="M139" s="134" t="s">
        <v>582</v>
      </c>
    </row>
    <row r="140" ht="40.5" customHeight="1">
      <c r="A140" s="27">
        <v>139.0</v>
      </c>
      <c r="B140" s="127" t="s">
        <v>583</v>
      </c>
      <c r="C140" s="128" t="s">
        <v>31</v>
      </c>
      <c r="D140" s="36" t="s">
        <v>205</v>
      </c>
      <c r="E140" s="128" t="s">
        <v>40</v>
      </c>
      <c r="F140" s="129">
        <v>46244.0</v>
      </c>
      <c r="G140" s="129">
        <v>46244.0</v>
      </c>
      <c r="H140" s="129">
        <v>46244.0</v>
      </c>
      <c r="I140" s="130">
        <v>46244.0</v>
      </c>
      <c r="J140" s="131" t="s">
        <v>160</v>
      </c>
      <c r="K140" s="132"/>
      <c r="L140" s="127" t="s">
        <v>584</v>
      </c>
      <c r="M140" s="134" t="s">
        <v>585</v>
      </c>
    </row>
    <row r="141" ht="40.5" customHeight="1">
      <c r="A141" s="27">
        <v>140.0</v>
      </c>
      <c r="B141" s="127" t="s">
        <v>586</v>
      </c>
      <c r="C141" s="128" t="s">
        <v>72</v>
      </c>
      <c r="D141" s="36" t="s">
        <v>205</v>
      </c>
      <c r="E141" s="128" t="s">
        <v>40</v>
      </c>
      <c r="F141" s="129">
        <v>46244.0</v>
      </c>
      <c r="G141" s="129">
        <v>46244.0</v>
      </c>
      <c r="H141" s="129">
        <v>46244.0</v>
      </c>
      <c r="I141" s="130">
        <v>46244.0</v>
      </c>
      <c r="J141" s="131" t="s">
        <v>160</v>
      </c>
      <c r="K141" s="132"/>
      <c r="L141" s="127" t="s">
        <v>331</v>
      </c>
      <c r="M141" s="134" t="s">
        <v>587</v>
      </c>
    </row>
    <row r="142" ht="40.5" customHeight="1">
      <c r="A142" s="27">
        <v>141.0</v>
      </c>
      <c r="B142" s="127" t="s">
        <v>588</v>
      </c>
      <c r="C142" s="128" t="s">
        <v>31</v>
      </c>
      <c r="D142" s="36" t="s">
        <v>205</v>
      </c>
      <c r="E142" s="128" t="s">
        <v>40</v>
      </c>
      <c r="F142" s="129">
        <v>46244.0</v>
      </c>
      <c r="G142" s="129">
        <v>46244.0</v>
      </c>
      <c r="H142" s="129">
        <v>46244.0</v>
      </c>
      <c r="I142" s="130">
        <v>46244.0</v>
      </c>
      <c r="J142" s="131" t="s">
        <v>160</v>
      </c>
      <c r="K142" s="132"/>
      <c r="L142" s="127"/>
      <c r="M142" s="161"/>
    </row>
    <row r="143" ht="40.5" customHeight="1">
      <c r="A143" s="27">
        <v>142.0</v>
      </c>
      <c r="B143" s="127" t="s">
        <v>589</v>
      </c>
      <c r="C143" s="128" t="s">
        <v>31</v>
      </c>
      <c r="D143" s="36" t="s">
        <v>205</v>
      </c>
      <c r="E143" s="128" t="s">
        <v>40</v>
      </c>
      <c r="F143" s="129">
        <v>46245.0</v>
      </c>
      <c r="G143" s="129">
        <v>46245.0</v>
      </c>
      <c r="H143" s="129">
        <v>46245.0</v>
      </c>
      <c r="I143" s="130">
        <v>46245.0</v>
      </c>
      <c r="J143" s="131" t="s">
        <v>160</v>
      </c>
      <c r="K143" s="132"/>
      <c r="L143" s="127" t="s">
        <v>590</v>
      </c>
      <c r="M143" s="134" t="s">
        <v>591</v>
      </c>
    </row>
    <row r="144" ht="40.5" customHeight="1">
      <c r="A144" s="27">
        <v>143.0</v>
      </c>
      <c r="B144" s="127" t="s">
        <v>592</v>
      </c>
      <c r="C144" s="128" t="s">
        <v>72</v>
      </c>
      <c r="D144" s="36" t="s">
        <v>205</v>
      </c>
      <c r="E144" s="128" t="s">
        <v>40</v>
      </c>
      <c r="F144" s="129">
        <v>46245.0</v>
      </c>
      <c r="G144" s="129">
        <v>46245.0</v>
      </c>
      <c r="H144" s="129">
        <v>46245.0</v>
      </c>
      <c r="I144" s="130">
        <v>46245.0</v>
      </c>
      <c r="J144" s="131" t="s">
        <v>160</v>
      </c>
      <c r="K144" s="132"/>
      <c r="L144" s="127" t="s">
        <v>593</v>
      </c>
      <c r="M144" s="134">
        <v>8809385.0</v>
      </c>
    </row>
    <row r="145" ht="40.5" customHeight="1">
      <c r="A145" s="27">
        <v>144.0</v>
      </c>
      <c r="B145" s="127" t="s">
        <v>594</v>
      </c>
      <c r="C145" s="128" t="s">
        <v>72</v>
      </c>
      <c r="D145" s="36" t="s">
        <v>205</v>
      </c>
      <c r="E145" s="128" t="s">
        <v>40</v>
      </c>
      <c r="F145" s="129">
        <v>46245.0</v>
      </c>
      <c r="G145" s="129">
        <v>46245.0</v>
      </c>
      <c r="H145" s="129">
        <v>46245.0</v>
      </c>
      <c r="I145" s="130">
        <v>46245.0</v>
      </c>
      <c r="J145" s="131" t="s">
        <v>160</v>
      </c>
      <c r="K145" s="132"/>
      <c r="L145" s="127" t="s">
        <v>595</v>
      </c>
      <c r="M145" s="134" t="s">
        <v>596</v>
      </c>
    </row>
    <row r="146" ht="40.5" customHeight="1">
      <c r="A146" s="27">
        <v>145.0</v>
      </c>
      <c r="B146" s="127" t="s">
        <v>597</v>
      </c>
      <c r="C146" s="128" t="s">
        <v>31</v>
      </c>
      <c r="D146" s="36" t="s">
        <v>205</v>
      </c>
      <c r="E146" s="128" t="s">
        <v>40</v>
      </c>
      <c r="F146" s="129">
        <v>46245.0</v>
      </c>
      <c r="G146" s="129">
        <v>46245.0</v>
      </c>
      <c r="H146" s="129">
        <v>46245.0</v>
      </c>
      <c r="I146" s="130">
        <v>46245.0</v>
      </c>
      <c r="J146" s="131" t="s">
        <v>160</v>
      </c>
      <c r="K146" s="132"/>
      <c r="L146" s="127" t="s">
        <v>598</v>
      </c>
      <c r="M146" s="134" t="s">
        <v>599</v>
      </c>
    </row>
    <row r="147" ht="40.5" customHeight="1">
      <c r="A147" s="27">
        <v>146.0</v>
      </c>
      <c r="B147" s="127" t="s">
        <v>600</v>
      </c>
      <c r="C147" s="128" t="s">
        <v>72</v>
      </c>
      <c r="D147" s="36" t="s">
        <v>205</v>
      </c>
      <c r="E147" s="128" t="s">
        <v>40</v>
      </c>
      <c r="F147" s="129">
        <v>46246.0</v>
      </c>
      <c r="G147" s="129">
        <v>46246.0</v>
      </c>
      <c r="H147" s="129">
        <v>46246.0</v>
      </c>
      <c r="I147" s="130">
        <v>46246.0</v>
      </c>
      <c r="J147" s="131" t="s">
        <v>160</v>
      </c>
      <c r="K147" s="162" t="s">
        <v>601</v>
      </c>
      <c r="L147" s="127"/>
      <c r="M147" s="161"/>
    </row>
    <row r="148" ht="40.5" customHeight="1">
      <c r="A148" s="27">
        <v>147.0</v>
      </c>
      <c r="B148" s="127" t="s">
        <v>602</v>
      </c>
      <c r="C148" s="128" t="s">
        <v>72</v>
      </c>
      <c r="D148" s="36" t="s">
        <v>205</v>
      </c>
      <c r="E148" s="128" t="s">
        <v>40</v>
      </c>
      <c r="F148" s="129">
        <v>46248.0</v>
      </c>
      <c r="G148" s="129">
        <v>46248.0</v>
      </c>
      <c r="H148" s="129">
        <v>46248.0</v>
      </c>
      <c r="I148" s="130">
        <v>46248.0</v>
      </c>
      <c r="J148" s="131" t="s">
        <v>160</v>
      </c>
      <c r="K148" s="132"/>
      <c r="L148" s="127" t="s">
        <v>603</v>
      </c>
      <c r="M148" s="134" t="s">
        <v>604</v>
      </c>
    </row>
    <row r="149" ht="40.5" customHeight="1">
      <c r="A149" s="27">
        <v>148.0</v>
      </c>
      <c r="B149" s="127" t="s">
        <v>605</v>
      </c>
      <c r="C149" s="128" t="s">
        <v>72</v>
      </c>
      <c r="D149" s="36" t="s">
        <v>205</v>
      </c>
      <c r="E149" s="128" t="s">
        <v>40</v>
      </c>
      <c r="F149" s="129">
        <v>46248.0</v>
      </c>
      <c r="G149" s="129">
        <v>46248.0</v>
      </c>
      <c r="H149" s="129">
        <v>46248.0</v>
      </c>
      <c r="I149" s="130">
        <v>46248.0</v>
      </c>
      <c r="J149" s="131" t="s">
        <v>160</v>
      </c>
      <c r="K149" s="132"/>
      <c r="L149" s="127" t="s">
        <v>331</v>
      </c>
      <c r="M149" s="134" t="s">
        <v>606</v>
      </c>
    </row>
    <row r="150" ht="40.5" customHeight="1">
      <c r="A150" s="27">
        <v>149.0</v>
      </c>
      <c r="B150" s="127" t="s">
        <v>607</v>
      </c>
      <c r="C150" s="128" t="s">
        <v>61</v>
      </c>
      <c r="D150" s="36" t="s">
        <v>205</v>
      </c>
      <c r="E150" s="128" t="s">
        <v>40</v>
      </c>
      <c r="F150" s="129">
        <v>46251.0</v>
      </c>
      <c r="G150" s="129">
        <v>46251.0</v>
      </c>
      <c r="H150" s="129">
        <v>46251.0</v>
      </c>
      <c r="I150" s="130">
        <v>46251.0</v>
      </c>
      <c r="J150" s="131" t="s">
        <v>160</v>
      </c>
      <c r="K150" s="132"/>
      <c r="L150" s="127" t="s">
        <v>608</v>
      </c>
      <c r="M150" s="134" t="s">
        <v>609</v>
      </c>
    </row>
    <row r="151" ht="40.5" customHeight="1">
      <c r="A151" s="27">
        <v>150.0</v>
      </c>
      <c r="B151" s="127" t="s">
        <v>610</v>
      </c>
      <c r="C151" s="128" t="s">
        <v>61</v>
      </c>
      <c r="D151" s="36" t="s">
        <v>205</v>
      </c>
      <c r="E151" s="128" t="s">
        <v>40</v>
      </c>
      <c r="F151" s="129">
        <v>46251.0</v>
      </c>
      <c r="G151" s="129">
        <v>46251.0</v>
      </c>
      <c r="H151" s="129">
        <v>46251.0</v>
      </c>
      <c r="I151" s="130">
        <v>46251.0</v>
      </c>
      <c r="J151" s="131" t="s">
        <v>160</v>
      </c>
      <c r="K151" s="132"/>
      <c r="L151" s="127" t="s">
        <v>611</v>
      </c>
      <c r="M151" s="134" t="s">
        <v>612</v>
      </c>
    </row>
    <row r="152" ht="40.5" customHeight="1">
      <c r="A152" s="27">
        <v>151.0</v>
      </c>
      <c r="B152" s="127" t="s">
        <v>613</v>
      </c>
      <c r="C152" s="128" t="s">
        <v>61</v>
      </c>
      <c r="D152" s="36" t="s">
        <v>205</v>
      </c>
      <c r="E152" s="128" t="s">
        <v>40</v>
      </c>
      <c r="F152" s="129">
        <v>46262.0</v>
      </c>
      <c r="G152" s="129">
        <v>46262.0</v>
      </c>
      <c r="H152" s="129">
        <v>46262.0</v>
      </c>
      <c r="I152" s="130">
        <v>46262.0</v>
      </c>
      <c r="J152" s="131" t="s">
        <v>160</v>
      </c>
      <c r="K152" s="132"/>
      <c r="L152" s="127" t="s">
        <v>614</v>
      </c>
      <c r="M152" s="134" t="s">
        <v>615</v>
      </c>
    </row>
    <row r="153" ht="40.5" customHeight="1">
      <c r="A153" s="27">
        <v>152.0</v>
      </c>
      <c r="B153" s="127" t="s">
        <v>616</v>
      </c>
      <c r="C153" s="128" t="s">
        <v>72</v>
      </c>
      <c r="D153" s="36" t="s">
        <v>205</v>
      </c>
      <c r="E153" s="128" t="s">
        <v>40</v>
      </c>
      <c r="F153" s="129">
        <v>46262.0</v>
      </c>
      <c r="G153" s="129">
        <v>46262.0</v>
      </c>
      <c r="H153" s="129">
        <v>46262.0</v>
      </c>
      <c r="I153" s="130">
        <v>46262.0</v>
      </c>
      <c r="J153" s="131" t="s">
        <v>160</v>
      </c>
      <c r="K153" s="132"/>
      <c r="L153" s="127" t="s">
        <v>617</v>
      </c>
      <c r="M153" s="134" t="s">
        <v>618</v>
      </c>
    </row>
    <row r="154" ht="40.5" customHeight="1">
      <c r="A154" s="27">
        <v>153.0</v>
      </c>
      <c r="B154" s="127" t="s">
        <v>619</v>
      </c>
      <c r="C154" s="128" t="s">
        <v>61</v>
      </c>
      <c r="D154" s="36" t="s">
        <v>205</v>
      </c>
      <c r="E154" s="128" t="s">
        <v>40</v>
      </c>
      <c r="F154" s="129">
        <v>46265.0</v>
      </c>
      <c r="G154" s="129">
        <v>46265.0</v>
      </c>
      <c r="H154" s="129">
        <v>46265.0</v>
      </c>
      <c r="I154" s="130">
        <v>46265.0</v>
      </c>
      <c r="J154" s="131" t="s">
        <v>160</v>
      </c>
      <c r="K154" s="132"/>
      <c r="L154" s="127" t="s">
        <v>620</v>
      </c>
      <c r="M154" s="134" t="s">
        <v>621</v>
      </c>
    </row>
    <row r="155" ht="40.5" customHeight="1">
      <c r="A155" s="27">
        <v>154.0</v>
      </c>
      <c r="B155" s="127" t="s">
        <v>622</v>
      </c>
      <c r="C155" s="128" t="s">
        <v>31</v>
      </c>
      <c r="D155" s="36" t="s">
        <v>205</v>
      </c>
      <c r="E155" s="128" t="s">
        <v>40</v>
      </c>
      <c r="F155" s="129">
        <v>46265.0</v>
      </c>
      <c r="G155" s="129">
        <v>46265.0</v>
      </c>
      <c r="H155" s="129">
        <v>46265.0</v>
      </c>
      <c r="I155" s="130">
        <v>46265.0</v>
      </c>
      <c r="J155" s="131" t="s">
        <v>160</v>
      </c>
      <c r="K155" s="132"/>
      <c r="L155" s="127" t="s">
        <v>623</v>
      </c>
      <c r="M155" s="134" t="s">
        <v>624</v>
      </c>
    </row>
    <row r="156" ht="40.5" customHeight="1">
      <c r="A156" s="27">
        <v>155.0</v>
      </c>
      <c r="B156" s="127" t="s">
        <v>625</v>
      </c>
      <c r="C156" s="128" t="s">
        <v>61</v>
      </c>
      <c r="D156" s="36" t="s">
        <v>205</v>
      </c>
      <c r="E156" s="128" t="s">
        <v>40</v>
      </c>
      <c r="F156" s="129">
        <v>46265.0</v>
      </c>
      <c r="G156" s="129">
        <v>46265.0</v>
      </c>
      <c r="H156" s="129">
        <v>46265.0</v>
      </c>
      <c r="I156" s="130">
        <v>46265.0</v>
      </c>
      <c r="J156" s="131" t="s">
        <v>160</v>
      </c>
      <c r="K156" s="132"/>
      <c r="L156" s="127" t="s">
        <v>626</v>
      </c>
      <c r="M156" s="134" t="s">
        <v>627</v>
      </c>
    </row>
    <row r="157" ht="40.5" customHeight="1">
      <c r="A157" s="27">
        <v>156.0</v>
      </c>
      <c r="B157" s="127" t="s">
        <v>628</v>
      </c>
      <c r="C157" s="128" t="s">
        <v>72</v>
      </c>
      <c r="D157" s="36" t="s">
        <v>205</v>
      </c>
      <c r="E157" s="128" t="s">
        <v>40</v>
      </c>
      <c r="F157" s="129">
        <v>46265.0</v>
      </c>
      <c r="G157" s="129">
        <v>46265.0</v>
      </c>
      <c r="H157" s="129">
        <v>46265.0</v>
      </c>
      <c r="I157" s="130">
        <v>46265.0</v>
      </c>
      <c r="J157" s="131" t="s">
        <v>160</v>
      </c>
      <c r="K157" s="132"/>
      <c r="L157" s="127" t="s">
        <v>629</v>
      </c>
      <c r="M157" s="134" t="s">
        <v>630</v>
      </c>
    </row>
    <row r="158" ht="40.5" customHeight="1">
      <c r="A158" s="27">
        <v>157.0</v>
      </c>
      <c r="B158" s="127" t="s">
        <v>631</v>
      </c>
      <c r="C158" s="128" t="s">
        <v>72</v>
      </c>
      <c r="D158" s="36" t="s">
        <v>205</v>
      </c>
      <c r="E158" s="128" t="s">
        <v>40</v>
      </c>
      <c r="F158" s="129">
        <v>46265.0</v>
      </c>
      <c r="G158" s="129">
        <v>46265.0</v>
      </c>
      <c r="H158" s="129">
        <v>46265.0</v>
      </c>
      <c r="I158" s="130">
        <v>46265.0</v>
      </c>
      <c r="J158" s="131" t="s">
        <v>160</v>
      </c>
      <c r="K158" s="132"/>
      <c r="L158" s="127" t="s">
        <v>632</v>
      </c>
      <c r="M158" s="134" t="s">
        <v>633</v>
      </c>
    </row>
    <row r="159" ht="40.5" customHeight="1">
      <c r="A159" s="27">
        <v>158.0</v>
      </c>
      <c r="B159" s="127" t="s">
        <v>634</v>
      </c>
      <c r="C159" s="128" t="s">
        <v>31</v>
      </c>
      <c r="D159" s="36" t="s">
        <v>205</v>
      </c>
      <c r="E159" s="128" t="s">
        <v>40</v>
      </c>
      <c r="F159" s="129">
        <v>46265.0</v>
      </c>
      <c r="G159" s="129">
        <v>46265.0</v>
      </c>
      <c r="H159" s="129">
        <v>46265.0</v>
      </c>
      <c r="I159" s="130">
        <v>46265.0</v>
      </c>
      <c r="J159" s="131" t="s">
        <v>160</v>
      </c>
      <c r="K159" s="132"/>
      <c r="L159" s="127" t="s">
        <v>635</v>
      </c>
      <c r="M159" s="134" t="s">
        <v>636</v>
      </c>
    </row>
    <row r="160" ht="40.5" customHeight="1">
      <c r="A160" s="27">
        <v>159.0</v>
      </c>
      <c r="B160" s="127" t="s">
        <v>637</v>
      </c>
      <c r="C160" s="128" t="s">
        <v>72</v>
      </c>
      <c r="D160" s="36" t="s">
        <v>205</v>
      </c>
      <c r="E160" s="128" t="s">
        <v>40</v>
      </c>
      <c r="F160" s="129">
        <v>46265.0</v>
      </c>
      <c r="G160" s="129">
        <v>46265.0</v>
      </c>
      <c r="H160" s="129">
        <v>46265.0</v>
      </c>
      <c r="I160" s="130">
        <v>46265.0</v>
      </c>
      <c r="J160" s="131" t="s">
        <v>160</v>
      </c>
      <c r="K160" s="132"/>
      <c r="L160" s="127" t="s">
        <v>638</v>
      </c>
      <c r="M160" s="134" t="s">
        <v>639</v>
      </c>
    </row>
    <row r="161" ht="40.5" customHeight="1">
      <c r="A161" s="27">
        <v>160.0</v>
      </c>
      <c r="B161" s="127" t="s">
        <v>640</v>
      </c>
      <c r="C161" s="128" t="s">
        <v>61</v>
      </c>
      <c r="D161" s="36" t="s">
        <v>205</v>
      </c>
      <c r="E161" s="128" t="s">
        <v>40</v>
      </c>
      <c r="F161" s="129">
        <v>46265.0</v>
      </c>
      <c r="G161" s="129">
        <v>46265.0</v>
      </c>
      <c r="H161" s="129">
        <v>46265.0</v>
      </c>
      <c r="I161" s="130">
        <v>46265.0</v>
      </c>
      <c r="J161" s="131" t="s">
        <v>160</v>
      </c>
      <c r="K161" s="132"/>
      <c r="L161" s="127"/>
      <c r="M161" s="161"/>
    </row>
    <row r="162" ht="40.5" customHeight="1">
      <c r="A162" s="27">
        <v>161.0</v>
      </c>
      <c r="B162" s="127" t="s">
        <v>641</v>
      </c>
      <c r="C162" s="128" t="s">
        <v>72</v>
      </c>
      <c r="D162" s="36" t="s">
        <v>205</v>
      </c>
      <c r="E162" s="128" t="s">
        <v>40</v>
      </c>
      <c r="F162" s="129">
        <v>46266.0</v>
      </c>
      <c r="G162" s="129">
        <v>46266.0</v>
      </c>
      <c r="H162" s="129">
        <v>46266.0</v>
      </c>
      <c r="I162" s="130">
        <v>46266.0</v>
      </c>
      <c r="J162" s="131" t="s">
        <v>160</v>
      </c>
      <c r="K162" s="132"/>
      <c r="L162" s="127" t="s">
        <v>642</v>
      </c>
      <c r="M162" s="134" t="s">
        <v>643</v>
      </c>
    </row>
    <row r="163" ht="40.5" customHeight="1">
      <c r="A163" s="27">
        <v>162.0</v>
      </c>
      <c r="B163" s="127" t="s">
        <v>644</v>
      </c>
      <c r="C163" s="128" t="s">
        <v>61</v>
      </c>
      <c r="D163" s="36" t="s">
        <v>205</v>
      </c>
      <c r="E163" s="128" t="s">
        <v>40</v>
      </c>
      <c r="F163" s="129">
        <v>46266.0</v>
      </c>
      <c r="G163" s="129">
        <v>46266.0</v>
      </c>
      <c r="H163" s="129">
        <v>46266.0</v>
      </c>
      <c r="I163" s="130">
        <v>46266.0</v>
      </c>
      <c r="J163" s="131" t="s">
        <v>160</v>
      </c>
      <c r="K163" s="132"/>
      <c r="L163" s="127" t="s">
        <v>645</v>
      </c>
      <c r="M163" s="134" t="s">
        <v>646</v>
      </c>
    </row>
    <row r="164" ht="40.5" customHeight="1">
      <c r="A164" s="27">
        <v>163.0</v>
      </c>
      <c r="B164" s="127" t="s">
        <v>647</v>
      </c>
      <c r="C164" s="128" t="s">
        <v>31</v>
      </c>
      <c r="D164" s="36" t="s">
        <v>205</v>
      </c>
      <c r="E164" s="128" t="s">
        <v>40</v>
      </c>
      <c r="F164" s="129">
        <v>46266.0</v>
      </c>
      <c r="G164" s="129">
        <v>46266.0</v>
      </c>
      <c r="H164" s="129">
        <v>46266.0</v>
      </c>
      <c r="I164" s="130">
        <v>46266.0</v>
      </c>
      <c r="J164" s="131" t="s">
        <v>160</v>
      </c>
      <c r="K164" s="132"/>
      <c r="L164" s="127" t="s">
        <v>648</v>
      </c>
      <c r="M164" s="134" t="s">
        <v>649</v>
      </c>
    </row>
    <row r="165" ht="40.5" customHeight="1">
      <c r="A165" s="27">
        <v>164.0</v>
      </c>
      <c r="B165" s="127" t="s">
        <v>650</v>
      </c>
      <c r="C165" s="128" t="s">
        <v>31</v>
      </c>
      <c r="D165" s="36" t="s">
        <v>205</v>
      </c>
      <c r="E165" s="128" t="s">
        <v>40</v>
      </c>
      <c r="F165" s="129">
        <v>46266.0</v>
      </c>
      <c r="G165" s="129">
        <v>46266.0</v>
      </c>
      <c r="H165" s="129">
        <v>46266.0</v>
      </c>
      <c r="I165" s="130">
        <v>46266.0</v>
      </c>
      <c r="J165" s="131" t="s">
        <v>160</v>
      </c>
      <c r="K165" s="132"/>
      <c r="L165" s="127" t="s">
        <v>651</v>
      </c>
      <c r="M165" s="134" t="s">
        <v>652</v>
      </c>
    </row>
    <row r="166" ht="40.5" customHeight="1">
      <c r="A166" s="27">
        <v>165.0</v>
      </c>
      <c r="B166" s="127" t="s">
        <v>653</v>
      </c>
      <c r="C166" s="128" t="s">
        <v>72</v>
      </c>
      <c r="D166" s="36" t="s">
        <v>205</v>
      </c>
      <c r="E166" s="128" t="s">
        <v>40</v>
      </c>
      <c r="F166" s="129">
        <v>46266.0</v>
      </c>
      <c r="G166" s="129">
        <v>46266.0</v>
      </c>
      <c r="H166" s="129">
        <v>46266.0</v>
      </c>
      <c r="I166" s="130">
        <v>46266.0</v>
      </c>
      <c r="J166" s="131" t="s">
        <v>160</v>
      </c>
      <c r="K166" s="132"/>
      <c r="L166" s="127" t="s">
        <v>654</v>
      </c>
      <c r="M166" s="134" t="s">
        <v>655</v>
      </c>
    </row>
    <row r="167" ht="40.5" customHeight="1">
      <c r="A167" s="27">
        <v>166.0</v>
      </c>
      <c r="B167" s="127" t="s">
        <v>656</v>
      </c>
      <c r="C167" s="128" t="s">
        <v>31</v>
      </c>
      <c r="D167" s="36" t="s">
        <v>205</v>
      </c>
      <c r="E167" s="128" t="s">
        <v>40</v>
      </c>
      <c r="F167" s="129">
        <v>46266.0</v>
      </c>
      <c r="G167" s="129">
        <v>46266.0</v>
      </c>
      <c r="H167" s="129">
        <v>46266.0</v>
      </c>
      <c r="I167" s="130">
        <v>46266.0</v>
      </c>
      <c r="J167" s="131" t="s">
        <v>160</v>
      </c>
      <c r="K167" s="132"/>
      <c r="L167" s="127" t="s">
        <v>657</v>
      </c>
      <c r="M167" s="134" t="s">
        <v>658</v>
      </c>
    </row>
    <row r="168" ht="40.5" customHeight="1">
      <c r="A168" s="27">
        <v>167.0</v>
      </c>
      <c r="B168" s="127" t="s">
        <v>659</v>
      </c>
      <c r="C168" s="128" t="s">
        <v>72</v>
      </c>
      <c r="D168" s="36" t="s">
        <v>205</v>
      </c>
      <c r="E168" s="128" t="s">
        <v>40</v>
      </c>
      <c r="F168" s="129">
        <v>46266.0</v>
      </c>
      <c r="G168" s="129">
        <v>46266.0</v>
      </c>
      <c r="H168" s="129">
        <v>46266.0</v>
      </c>
      <c r="I168" s="130">
        <v>46266.0</v>
      </c>
      <c r="J168" s="131" t="s">
        <v>160</v>
      </c>
      <c r="K168" s="132"/>
      <c r="L168" s="127" t="s">
        <v>660</v>
      </c>
      <c r="M168" s="134" t="s">
        <v>661</v>
      </c>
    </row>
    <row r="169" ht="40.5" customHeight="1">
      <c r="A169" s="27">
        <v>168.0</v>
      </c>
      <c r="B169" s="127" t="s">
        <v>662</v>
      </c>
      <c r="C169" s="128" t="s">
        <v>72</v>
      </c>
      <c r="D169" s="36" t="s">
        <v>205</v>
      </c>
      <c r="E169" s="128" t="s">
        <v>40</v>
      </c>
      <c r="F169" s="129">
        <v>46266.0</v>
      </c>
      <c r="G169" s="129">
        <v>46266.0</v>
      </c>
      <c r="H169" s="129">
        <v>46266.0</v>
      </c>
      <c r="I169" s="130">
        <v>46266.0</v>
      </c>
      <c r="J169" s="131" t="s">
        <v>160</v>
      </c>
      <c r="K169" s="132"/>
      <c r="L169" s="127" t="s">
        <v>663</v>
      </c>
      <c r="M169" s="134" t="s">
        <v>664</v>
      </c>
    </row>
    <row r="170" ht="40.5" customHeight="1">
      <c r="A170" s="27">
        <v>169.0</v>
      </c>
      <c r="B170" s="127" t="s">
        <v>665</v>
      </c>
      <c r="C170" s="128" t="s">
        <v>61</v>
      </c>
      <c r="D170" s="36" t="s">
        <v>205</v>
      </c>
      <c r="E170" s="128" t="s">
        <v>40</v>
      </c>
      <c r="F170" s="129">
        <v>46266.0</v>
      </c>
      <c r="G170" s="129">
        <v>46266.0</v>
      </c>
      <c r="H170" s="129">
        <v>46266.0</v>
      </c>
      <c r="I170" s="130">
        <v>46266.0</v>
      </c>
      <c r="J170" s="131" t="s">
        <v>160</v>
      </c>
      <c r="K170" s="132"/>
      <c r="L170" s="127" t="s">
        <v>331</v>
      </c>
      <c r="M170" s="134" t="s">
        <v>666</v>
      </c>
    </row>
    <row r="171" ht="40.5" customHeight="1">
      <c r="A171" s="27">
        <v>170.0</v>
      </c>
      <c r="B171" s="127" t="s">
        <v>667</v>
      </c>
      <c r="C171" s="128" t="s">
        <v>31</v>
      </c>
      <c r="D171" s="36" t="s">
        <v>205</v>
      </c>
      <c r="E171" s="128" t="s">
        <v>40</v>
      </c>
      <c r="F171" s="129">
        <v>46266.0</v>
      </c>
      <c r="G171" s="129">
        <v>46266.0</v>
      </c>
      <c r="H171" s="129">
        <v>46266.0</v>
      </c>
      <c r="I171" s="130">
        <v>46266.0</v>
      </c>
      <c r="J171" s="131" t="s">
        <v>160</v>
      </c>
      <c r="K171" s="162" t="s">
        <v>668</v>
      </c>
      <c r="L171" s="127"/>
      <c r="M171" s="161"/>
    </row>
    <row r="172" ht="40.5" customHeight="1">
      <c r="A172" s="27">
        <v>171.0</v>
      </c>
      <c r="B172" s="127" t="s">
        <v>669</v>
      </c>
      <c r="C172" s="128" t="s">
        <v>72</v>
      </c>
      <c r="D172" s="36" t="s">
        <v>205</v>
      </c>
      <c r="E172" s="128" t="s">
        <v>40</v>
      </c>
      <c r="F172" s="129">
        <v>46267.0</v>
      </c>
      <c r="G172" s="129">
        <v>46267.0</v>
      </c>
      <c r="H172" s="129">
        <v>46267.0</v>
      </c>
      <c r="I172" s="130">
        <v>46267.0</v>
      </c>
      <c r="J172" s="131" t="s">
        <v>160</v>
      </c>
      <c r="K172" s="132"/>
      <c r="L172" s="127" t="s">
        <v>670</v>
      </c>
      <c r="M172" s="134" t="s">
        <v>671</v>
      </c>
    </row>
    <row r="173" ht="40.5" customHeight="1">
      <c r="A173" s="27">
        <v>172.0</v>
      </c>
      <c r="B173" s="127" t="s">
        <v>672</v>
      </c>
      <c r="C173" s="128" t="s">
        <v>72</v>
      </c>
      <c r="D173" s="36" t="s">
        <v>205</v>
      </c>
      <c r="E173" s="128" t="s">
        <v>40</v>
      </c>
      <c r="F173" s="129">
        <v>46267.0</v>
      </c>
      <c r="G173" s="129">
        <v>46267.0</v>
      </c>
      <c r="H173" s="129">
        <v>46267.0</v>
      </c>
      <c r="I173" s="130">
        <v>46267.0</v>
      </c>
      <c r="J173" s="131" t="s">
        <v>160</v>
      </c>
      <c r="K173" s="132"/>
      <c r="L173" s="127" t="s">
        <v>673</v>
      </c>
      <c r="M173" s="134" t="s">
        <v>674</v>
      </c>
    </row>
    <row r="174" ht="40.5" customHeight="1">
      <c r="A174" s="27">
        <v>173.0</v>
      </c>
      <c r="B174" s="127" t="s">
        <v>675</v>
      </c>
      <c r="C174" s="128" t="s">
        <v>31</v>
      </c>
      <c r="D174" s="36" t="s">
        <v>205</v>
      </c>
      <c r="E174" s="128" t="s">
        <v>40</v>
      </c>
      <c r="F174" s="129">
        <v>46267.0</v>
      </c>
      <c r="G174" s="129">
        <v>46267.0</v>
      </c>
      <c r="H174" s="129">
        <v>46267.0</v>
      </c>
      <c r="I174" s="130">
        <v>46267.0</v>
      </c>
      <c r="J174" s="131" t="s">
        <v>160</v>
      </c>
      <c r="K174" s="132"/>
      <c r="L174" s="127" t="s">
        <v>676</v>
      </c>
      <c r="M174" s="134" t="s">
        <v>677</v>
      </c>
    </row>
    <row r="175" ht="40.5" customHeight="1">
      <c r="A175" s="27">
        <v>174.0</v>
      </c>
      <c r="B175" s="127" t="s">
        <v>678</v>
      </c>
      <c r="C175" s="128" t="s">
        <v>72</v>
      </c>
      <c r="D175" s="36" t="s">
        <v>205</v>
      </c>
      <c r="E175" s="128" t="s">
        <v>40</v>
      </c>
      <c r="F175" s="129">
        <v>46267.0</v>
      </c>
      <c r="G175" s="129">
        <v>46267.0</v>
      </c>
      <c r="H175" s="129">
        <v>46267.0</v>
      </c>
      <c r="I175" s="130">
        <v>46267.0</v>
      </c>
      <c r="J175" s="131" t="s">
        <v>160</v>
      </c>
      <c r="K175" s="132"/>
      <c r="L175" s="127" t="s">
        <v>679</v>
      </c>
      <c r="M175" s="134" t="s">
        <v>680</v>
      </c>
    </row>
    <row r="176" ht="40.5" customHeight="1">
      <c r="A176" s="27">
        <v>175.0</v>
      </c>
      <c r="B176" s="127" t="s">
        <v>681</v>
      </c>
      <c r="C176" s="128" t="s">
        <v>61</v>
      </c>
      <c r="D176" s="36" t="s">
        <v>205</v>
      </c>
      <c r="E176" s="128" t="s">
        <v>40</v>
      </c>
      <c r="F176" s="129">
        <v>46268.0</v>
      </c>
      <c r="G176" s="129">
        <v>46268.0</v>
      </c>
      <c r="H176" s="129">
        <v>46268.0</v>
      </c>
      <c r="I176" s="130">
        <v>46268.0</v>
      </c>
      <c r="J176" s="131" t="s">
        <v>160</v>
      </c>
      <c r="K176" s="132"/>
      <c r="L176" s="127" t="s">
        <v>682</v>
      </c>
      <c r="M176" s="134" t="s">
        <v>683</v>
      </c>
    </row>
    <row r="177" ht="40.5" customHeight="1">
      <c r="A177" s="27">
        <v>176.0</v>
      </c>
      <c r="B177" s="127" t="s">
        <v>684</v>
      </c>
      <c r="C177" s="128" t="s">
        <v>61</v>
      </c>
      <c r="D177" s="36" t="s">
        <v>205</v>
      </c>
      <c r="E177" s="128" t="s">
        <v>40</v>
      </c>
      <c r="F177" s="129">
        <v>46268.0</v>
      </c>
      <c r="G177" s="129">
        <v>46268.0</v>
      </c>
      <c r="H177" s="129">
        <v>46268.0</v>
      </c>
      <c r="I177" s="130">
        <v>46268.0</v>
      </c>
      <c r="J177" s="131" t="s">
        <v>160</v>
      </c>
      <c r="K177" s="132"/>
      <c r="L177" s="127" t="s">
        <v>685</v>
      </c>
      <c r="M177" s="134" t="s">
        <v>686</v>
      </c>
    </row>
    <row r="178" ht="40.5" customHeight="1">
      <c r="A178" s="27">
        <v>177.0</v>
      </c>
      <c r="B178" s="127" t="s">
        <v>687</v>
      </c>
      <c r="C178" s="128" t="s">
        <v>72</v>
      </c>
      <c r="D178" s="36" t="s">
        <v>205</v>
      </c>
      <c r="E178" s="128" t="s">
        <v>40</v>
      </c>
      <c r="F178" s="129">
        <v>46268.0</v>
      </c>
      <c r="G178" s="129">
        <v>46268.0</v>
      </c>
      <c r="H178" s="129">
        <v>46268.0</v>
      </c>
      <c r="I178" s="130">
        <v>46268.0</v>
      </c>
      <c r="J178" s="131" t="s">
        <v>160</v>
      </c>
      <c r="K178" s="132"/>
      <c r="L178" s="127" t="s">
        <v>688</v>
      </c>
      <c r="M178" s="134" t="s">
        <v>689</v>
      </c>
    </row>
    <row r="179" ht="40.5" customHeight="1">
      <c r="A179" s="27">
        <v>178.0</v>
      </c>
      <c r="B179" s="127" t="s">
        <v>690</v>
      </c>
      <c r="C179" s="128" t="s">
        <v>31</v>
      </c>
      <c r="D179" s="36" t="s">
        <v>205</v>
      </c>
      <c r="E179" s="128" t="s">
        <v>40</v>
      </c>
      <c r="F179" s="129">
        <v>46268.0</v>
      </c>
      <c r="G179" s="129">
        <v>46268.0</v>
      </c>
      <c r="H179" s="129">
        <v>46268.0</v>
      </c>
      <c r="I179" s="130">
        <v>46268.0</v>
      </c>
      <c r="J179" s="131" t="s">
        <v>160</v>
      </c>
      <c r="K179" s="132"/>
      <c r="L179" s="127" t="s">
        <v>691</v>
      </c>
      <c r="M179" s="134" t="s">
        <v>692</v>
      </c>
    </row>
    <row r="180" ht="40.5" customHeight="1">
      <c r="A180" s="27">
        <v>179.0</v>
      </c>
      <c r="B180" s="127" t="s">
        <v>693</v>
      </c>
      <c r="C180" s="128" t="s">
        <v>61</v>
      </c>
      <c r="D180" s="36" t="s">
        <v>205</v>
      </c>
      <c r="E180" s="128" t="s">
        <v>40</v>
      </c>
      <c r="F180" s="129">
        <v>46268.0</v>
      </c>
      <c r="G180" s="129">
        <v>46268.0</v>
      </c>
      <c r="H180" s="129">
        <v>46268.0</v>
      </c>
      <c r="I180" s="130">
        <v>46268.0</v>
      </c>
      <c r="J180" s="131" t="s">
        <v>160</v>
      </c>
      <c r="K180" s="132"/>
      <c r="L180" s="127" t="s">
        <v>694</v>
      </c>
      <c r="M180" s="134" t="s">
        <v>695</v>
      </c>
    </row>
    <row r="181" ht="40.5" customHeight="1">
      <c r="A181" s="27">
        <v>180.0</v>
      </c>
      <c r="B181" s="127" t="s">
        <v>696</v>
      </c>
      <c r="C181" s="128" t="s">
        <v>72</v>
      </c>
      <c r="D181" s="36" t="s">
        <v>205</v>
      </c>
      <c r="E181" s="128" t="s">
        <v>40</v>
      </c>
      <c r="F181" s="129">
        <v>46268.0</v>
      </c>
      <c r="G181" s="129">
        <v>46268.0</v>
      </c>
      <c r="H181" s="129">
        <v>46268.0</v>
      </c>
      <c r="I181" s="130">
        <v>46268.0</v>
      </c>
      <c r="J181" s="131" t="s">
        <v>160</v>
      </c>
      <c r="K181" s="132"/>
      <c r="L181" s="127"/>
      <c r="M181" s="161"/>
    </row>
    <row r="182" ht="40.5" customHeight="1">
      <c r="A182" s="27">
        <v>181.0</v>
      </c>
      <c r="B182" s="127" t="s">
        <v>697</v>
      </c>
      <c r="C182" s="128" t="s">
        <v>31</v>
      </c>
      <c r="D182" s="36" t="s">
        <v>205</v>
      </c>
      <c r="E182" s="128" t="s">
        <v>40</v>
      </c>
      <c r="F182" s="129">
        <v>46269.0</v>
      </c>
      <c r="G182" s="129">
        <v>46269.0</v>
      </c>
      <c r="H182" s="129">
        <v>46269.0</v>
      </c>
      <c r="I182" s="130">
        <v>46269.0</v>
      </c>
      <c r="J182" s="131" t="s">
        <v>160</v>
      </c>
      <c r="K182" s="132"/>
      <c r="L182" s="127" t="s">
        <v>698</v>
      </c>
      <c r="M182" s="134" t="s">
        <v>699</v>
      </c>
    </row>
    <row r="183" ht="40.5" customHeight="1">
      <c r="A183" s="27">
        <v>182.0</v>
      </c>
      <c r="B183" s="127" t="s">
        <v>700</v>
      </c>
      <c r="C183" s="128" t="s">
        <v>31</v>
      </c>
      <c r="D183" s="36" t="s">
        <v>205</v>
      </c>
      <c r="E183" s="128" t="s">
        <v>40</v>
      </c>
      <c r="F183" s="129">
        <v>46269.0</v>
      </c>
      <c r="G183" s="129">
        <v>46269.0</v>
      </c>
      <c r="H183" s="129">
        <v>46269.0</v>
      </c>
      <c r="I183" s="130">
        <v>46269.0</v>
      </c>
      <c r="J183" s="131" t="s">
        <v>160</v>
      </c>
      <c r="K183" s="132"/>
      <c r="L183" s="127" t="s">
        <v>701</v>
      </c>
      <c r="M183" s="134" t="s">
        <v>702</v>
      </c>
    </row>
    <row r="184" ht="40.5" customHeight="1">
      <c r="A184" s="27">
        <v>183.0</v>
      </c>
      <c r="B184" s="127" t="s">
        <v>703</v>
      </c>
      <c r="C184" s="128" t="s">
        <v>61</v>
      </c>
      <c r="D184" s="36" t="s">
        <v>205</v>
      </c>
      <c r="E184" s="128" t="s">
        <v>40</v>
      </c>
      <c r="F184" s="129">
        <v>46269.0</v>
      </c>
      <c r="G184" s="129">
        <v>46269.0</v>
      </c>
      <c r="H184" s="129">
        <v>46269.0</v>
      </c>
      <c r="I184" s="130">
        <v>46269.0</v>
      </c>
      <c r="J184" s="131" t="s">
        <v>160</v>
      </c>
      <c r="K184" s="132"/>
      <c r="L184" s="127" t="s">
        <v>704</v>
      </c>
      <c r="M184" s="134" t="s">
        <v>705</v>
      </c>
    </row>
    <row r="185" ht="40.5" customHeight="1">
      <c r="A185" s="27">
        <v>184.0</v>
      </c>
      <c r="B185" s="127" t="s">
        <v>706</v>
      </c>
      <c r="C185" s="128" t="s">
        <v>72</v>
      </c>
      <c r="D185" s="36" t="s">
        <v>205</v>
      </c>
      <c r="E185" s="128" t="s">
        <v>40</v>
      </c>
      <c r="F185" s="129">
        <v>46269.0</v>
      </c>
      <c r="G185" s="129">
        <v>46269.0</v>
      </c>
      <c r="H185" s="129">
        <v>46269.0</v>
      </c>
      <c r="I185" s="130">
        <v>46269.0</v>
      </c>
      <c r="J185" s="131" t="s">
        <v>160</v>
      </c>
      <c r="K185" s="132"/>
      <c r="L185" s="127"/>
      <c r="M185" s="161"/>
    </row>
    <row r="186" ht="40.5" customHeight="1">
      <c r="A186" s="27">
        <v>185.0</v>
      </c>
      <c r="B186" s="127" t="s">
        <v>707</v>
      </c>
      <c r="C186" s="128" t="s">
        <v>72</v>
      </c>
      <c r="D186" s="36" t="s">
        <v>205</v>
      </c>
      <c r="E186" s="128" t="s">
        <v>40</v>
      </c>
      <c r="F186" s="129">
        <v>46272.0</v>
      </c>
      <c r="G186" s="129">
        <v>46272.0</v>
      </c>
      <c r="H186" s="129">
        <v>46272.0</v>
      </c>
      <c r="I186" s="130">
        <v>46272.0</v>
      </c>
      <c r="J186" s="131" t="s">
        <v>160</v>
      </c>
      <c r="K186" s="132"/>
      <c r="L186" s="127" t="s">
        <v>708</v>
      </c>
      <c r="M186" s="134" t="s">
        <v>709</v>
      </c>
    </row>
    <row r="187" ht="40.5" customHeight="1">
      <c r="A187" s="27">
        <v>186.0</v>
      </c>
      <c r="B187" s="127" t="s">
        <v>710</v>
      </c>
      <c r="C187" s="128" t="s">
        <v>31</v>
      </c>
      <c r="D187" s="36" t="s">
        <v>205</v>
      </c>
      <c r="E187" s="128" t="s">
        <v>40</v>
      </c>
      <c r="F187" s="129">
        <v>46272.0</v>
      </c>
      <c r="G187" s="129">
        <v>46272.0</v>
      </c>
      <c r="H187" s="129">
        <v>46272.0</v>
      </c>
      <c r="I187" s="130">
        <v>46272.0</v>
      </c>
      <c r="J187" s="131" t="s">
        <v>160</v>
      </c>
      <c r="K187" s="132"/>
      <c r="L187" s="127" t="s">
        <v>711</v>
      </c>
      <c r="M187" s="134" t="s">
        <v>712</v>
      </c>
    </row>
    <row r="188" ht="40.5" customHeight="1">
      <c r="A188" s="27">
        <v>187.0</v>
      </c>
      <c r="B188" s="127" t="s">
        <v>713</v>
      </c>
      <c r="C188" s="128" t="s">
        <v>31</v>
      </c>
      <c r="D188" s="36" t="s">
        <v>205</v>
      </c>
      <c r="E188" s="128" t="s">
        <v>40</v>
      </c>
      <c r="F188" s="129">
        <v>46272.0</v>
      </c>
      <c r="G188" s="129">
        <v>46272.0</v>
      </c>
      <c r="H188" s="129">
        <v>46272.0</v>
      </c>
      <c r="I188" s="130">
        <v>46272.0</v>
      </c>
      <c r="J188" s="131" t="s">
        <v>160</v>
      </c>
      <c r="K188" s="132"/>
      <c r="L188" s="127" t="s">
        <v>714</v>
      </c>
      <c r="M188" s="134" t="s">
        <v>715</v>
      </c>
    </row>
    <row r="189" ht="40.5" customHeight="1">
      <c r="A189" s="27">
        <v>188.0</v>
      </c>
      <c r="B189" s="127" t="s">
        <v>716</v>
      </c>
      <c r="C189" s="128" t="s">
        <v>31</v>
      </c>
      <c r="D189" s="36" t="s">
        <v>205</v>
      </c>
      <c r="E189" s="128" t="s">
        <v>40</v>
      </c>
      <c r="F189" s="129">
        <v>46272.0</v>
      </c>
      <c r="G189" s="129">
        <v>46272.0</v>
      </c>
      <c r="H189" s="129">
        <v>46272.0</v>
      </c>
      <c r="I189" s="130">
        <v>46272.0</v>
      </c>
      <c r="J189" s="131" t="s">
        <v>160</v>
      </c>
      <c r="K189" s="132"/>
      <c r="L189" s="127" t="s">
        <v>717</v>
      </c>
      <c r="M189" s="134" t="s">
        <v>718</v>
      </c>
    </row>
    <row r="190" ht="40.5" customHeight="1">
      <c r="A190" s="27">
        <v>189.0</v>
      </c>
      <c r="B190" s="127" t="s">
        <v>719</v>
      </c>
      <c r="C190" s="128" t="s">
        <v>61</v>
      </c>
      <c r="D190" s="36" t="s">
        <v>205</v>
      </c>
      <c r="E190" s="128" t="s">
        <v>40</v>
      </c>
      <c r="F190" s="129">
        <v>46272.0</v>
      </c>
      <c r="G190" s="129">
        <v>46272.0</v>
      </c>
      <c r="H190" s="129">
        <v>46272.0</v>
      </c>
      <c r="I190" s="130">
        <v>46272.0</v>
      </c>
      <c r="J190" s="131" t="s">
        <v>160</v>
      </c>
      <c r="K190" s="132"/>
      <c r="L190" s="127" t="s">
        <v>720</v>
      </c>
      <c r="M190" s="134" t="s">
        <v>721</v>
      </c>
    </row>
    <row r="191" ht="40.5" customHeight="1">
      <c r="A191" s="27">
        <v>190.0</v>
      </c>
      <c r="B191" s="127" t="s">
        <v>722</v>
      </c>
      <c r="C191" s="128" t="s">
        <v>31</v>
      </c>
      <c r="D191" s="36" t="s">
        <v>205</v>
      </c>
      <c r="E191" s="128" t="s">
        <v>40</v>
      </c>
      <c r="F191" s="129">
        <v>46272.0</v>
      </c>
      <c r="G191" s="129">
        <v>46272.0</v>
      </c>
      <c r="H191" s="129">
        <v>46272.0</v>
      </c>
      <c r="I191" s="130">
        <v>46272.0</v>
      </c>
      <c r="J191" s="131" t="s">
        <v>160</v>
      </c>
      <c r="K191" s="132"/>
      <c r="L191" s="127" t="s">
        <v>331</v>
      </c>
      <c r="M191" s="134" t="s">
        <v>723</v>
      </c>
    </row>
    <row r="192" ht="40.5" customHeight="1">
      <c r="A192" s="27">
        <v>191.0</v>
      </c>
      <c r="B192" s="127" t="s">
        <v>724</v>
      </c>
      <c r="C192" s="128" t="s">
        <v>31</v>
      </c>
      <c r="D192" s="36" t="s">
        <v>205</v>
      </c>
      <c r="E192" s="128" t="s">
        <v>40</v>
      </c>
      <c r="F192" s="129">
        <v>46272.0</v>
      </c>
      <c r="G192" s="129">
        <v>46272.0</v>
      </c>
      <c r="H192" s="129">
        <v>46272.0</v>
      </c>
      <c r="I192" s="130">
        <v>46272.0</v>
      </c>
      <c r="J192" s="131" t="s">
        <v>160</v>
      </c>
      <c r="K192" s="132"/>
      <c r="L192" s="127" t="s">
        <v>331</v>
      </c>
      <c r="M192" s="134" t="s">
        <v>725</v>
      </c>
    </row>
    <row r="193" ht="40.5" customHeight="1">
      <c r="A193" s="27">
        <v>192.0</v>
      </c>
      <c r="B193" s="127" t="s">
        <v>726</v>
      </c>
      <c r="C193" s="128" t="s">
        <v>31</v>
      </c>
      <c r="D193" s="36" t="s">
        <v>205</v>
      </c>
      <c r="E193" s="128" t="s">
        <v>40</v>
      </c>
      <c r="F193" s="129">
        <v>46272.0</v>
      </c>
      <c r="G193" s="129">
        <v>46272.0</v>
      </c>
      <c r="H193" s="129">
        <v>46272.0</v>
      </c>
      <c r="I193" s="130">
        <v>46272.0</v>
      </c>
      <c r="J193" s="131" t="s">
        <v>160</v>
      </c>
      <c r="K193" s="132"/>
      <c r="L193" s="127" t="s">
        <v>331</v>
      </c>
      <c r="M193" s="134" t="s">
        <v>727</v>
      </c>
    </row>
    <row r="194" ht="40.5" customHeight="1">
      <c r="A194" s="27">
        <v>193.0</v>
      </c>
      <c r="B194" s="127" t="s">
        <v>728</v>
      </c>
      <c r="C194" s="128" t="s">
        <v>31</v>
      </c>
      <c r="D194" s="36" t="s">
        <v>205</v>
      </c>
      <c r="E194" s="128" t="s">
        <v>40</v>
      </c>
      <c r="F194" s="129">
        <v>46272.0</v>
      </c>
      <c r="G194" s="129">
        <v>46272.0</v>
      </c>
      <c r="H194" s="129">
        <v>46272.0</v>
      </c>
      <c r="I194" s="130">
        <v>46272.0</v>
      </c>
      <c r="J194" s="131" t="s">
        <v>160</v>
      </c>
      <c r="K194" s="132"/>
      <c r="L194" s="127" t="s">
        <v>331</v>
      </c>
      <c r="M194" s="134" t="s">
        <v>729</v>
      </c>
    </row>
    <row r="195" ht="40.5" customHeight="1">
      <c r="A195" s="27">
        <v>194.0</v>
      </c>
      <c r="B195" s="127" t="s">
        <v>730</v>
      </c>
      <c r="C195" s="128" t="s">
        <v>31</v>
      </c>
      <c r="D195" s="36" t="s">
        <v>205</v>
      </c>
      <c r="E195" s="128" t="s">
        <v>40</v>
      </c>
      <c r="F195" s="129">
        <v>46272.0</v>
      </c>
      <c r="G195" s="129">
        <v>46272.0</v>
      </c>
      <c r="H195" s="129">
        <v>46272.0</v>
      </c>
      <c r="I195" s="130">
        <v>46272.0</v>
      </c>
      <c r="J195" s="131" t="s">
        <v>160</v>
      </c>
      <c r="K195" s="132"/>
      <c r="L195" s="127" t="s">
        <v>331</v>
      </c>
      <c r="M195" s="134" t="s">
        <v>731</v>
      </c>
    </row>
    <row r="196" ht="40.5" customHeight="1">
      <c r="A196" s="27">
        <v>195.0</v>
      </c>
      <c r="B196" s="127" t="s">
        <v>732</v>
      </c>
      <c r="C196" s="128" t="s">
        <v>31</v>
      </c>
      <c r="D196" s="36" t="s">
        <v>205</v>
      </c>
      <c r="E196" s="128" t="s">
        <v>40</v>
      </c>
      <c r="F196" s="129">
        <v>46272.0</v>
      </c>
      <c r="G196" s="129">
        <v>46272.0</v>
      </c>
      <c r="H196" s="129">
        <v>46272.0</v>
      </c>
      <c r="I196" s="130">
        <v>46272.0</v>
      </c>
      <c r="J196" s="131" t="s">
        <v>160</v>
      </c>
      <c r="K196" s="132"/>
      <c r="L196" s="127" t="s">
        <v>331</v>
      </c>
      <c r="M196" s="134" t="s">
        <v>733</v>
      </c>
    </row>
    <row r="197" ht="40.5" customHeight="1">
      <c r="A197" s="27">
        <v>196.0</v>
      </c>
      <c r="B197" s="127" t="s">
        <v>734</v>
      </c>
      <c r="C197" s="128" t="s">
        <v>31</v>
      </c>
      <c r="D197" s="36" t="s">
        <v>205</v>
      </c>
      <c r="E197" s="128" t="s">
        <v>40</v>
      </c>
      <c r="F197" s="129">
        <v>46272.0</v>
      </c>
      <c r="G197" s="129">
        <v>46272.0</v>
      </c>
      <c r="H197" s="129">
        <v>46272.0</v>
      </c>
      <c r="I197" s="130">
        <v>46272.0</v>
      </c>
      <c r="J197" s="131" t="s">
        <v>160</v>
      </c>
      <c r="K197" s="132"/>
      <c r="L197" s="127" t="s">
        <v>331</v>
      </c>
      <c r="M197" s="134" t="s">
        <v>735</v>
      </c>
    </row>
    <row r="198" ht="40.5" customHeight="1">
      <c r="A198" s="27">
        <v>197.0</v>
      </c>
      <c r="B198" s="127" t="s">
        <v>736</v>
      </c>
      <c r="C198" s="128" t="s">
        <v>31</v>
      </c>
      <c r="D198" s="36" t="s">
        <v>205</v>
      </c>
      <c r="E198" s="128" t="s">
        <v>40</v>
      </c>
      <c r="F198" s="129">
        <v>46272.0</v>
      </c>
      <c r="G198" s="129">
        <v>46272.0</v>
      </c>
      <c r="H198" s="129">
        <v>46272.0</v>
      </c>
      <c r="I198" s="130">
        <v>46272.0</v>
      </c>
      <c r="J198" s="131" t="s">
        <v>160</v>
      </c>
      <c r="K198" s="132"/>
      <c r="L198" s="127" t="s">
        <v>331</v>
      </c>
      <c r="M198" s="134" t="s">
        <v>737</v>
      </c>
    </row>
    <row r="199" ht="40.5" customHeight="1">
      <c r="A199" s="27">
        <v>198.0</v>
      </c>
      <c r="B199" s="127" t="s">
        <v>738</v>
      </c>
      <c r="C199" s="128" t="s">
        <v>31</v>
      </c>
      <c r="D199" s="36" t="s">
        <v>205</v>
      </c>
      <c r="E199" s="128" t="s">
        <v>40</v>
      </c>
      <c r="F199" s="129">
        <v>46272.0</v>
      </c>
      <c r="G199" s="129">
        <v>46272.0</v>
      </c>
      <c r="H199" s="129">
        <v>46272.0</v>
      </c>
      <c r="I199" s="130">
        <v>46272.0</v>
      </c>
      <c r="J199" s="131" t="s">
        <v>160</v>
      </c>
      <c r="K199" s="132"/>
      <c r="L199" s="127" t="s">
        <v>331</v>
      </c>
      <c r="M199" s="134" t="s">
        <v>739</v>
      </c>
    </row>
    <row r="200" ht="40.5" customHeight="1">
      <c r="A200" s="27">
        <v>199.0</v>
      </c>
      <c r="B200" s="127" t="s">
        <v>740</v>
      </c>
      <c r="C200" s="128" t="s">
        <v>31</v>
      </c>
      <c r="D200" s="36" t="s">
        <v>205</v>
      </c>
      <c r="E200" s="128" t="s">
        <v>40</v>
      </c>
      <c r="F200" s="129">
        <v>46272.0</v>
      </c>
      <c r="G200" s="129">
        <v>46272.0</v>
      </c>
      <c r="H200" s="129">
        <v>46272.0</v>
      </c>
      <c r="I200" s="130">
        <v>46272.0</v>
      </c>
      <c r="J200" s="131" t="s">
        <v>160</v>
      </c>
      <c r="K200" s="132"/>
      <c r="L200" s="127"/>
      <c r="M200" s="161"/>
    </row>
    <row r="201" ht="40.5" customHeight="1">
      <c r="A201" s="27">
        <v>200.0</v>
      </c>
      <c r="B201" s="127" t="s">
        <v>741</v>
      </c>
      <c r="C201" s="128" t="s">
        <v>61</v>
      </c>
      <c r="D201" s="36" t="s">
        <v>205</v>
      </c>
      <c r="E201" s="128" t="s">
        <v>40</v>
      </c>
      <c r="F201" s="129">
        <v>46273.0</v>
      </c>
      <c r="G201" s="129">
        <v>46273.0</v>
      </c>
      <c r="H201" s="129">
        <v>46273.0</v>
      </c>
      <c r="I201" s="130">
        <v>46273.0</v>
      </c>
      <c r="J201" s="131" t="s">
        <v>160</v>
      </c>
      <c r="K201" s="132"/>
      <c r="L201" s="127" t="s">
        <v>742</v>
      </c>
      <c r="M201" s="134" t="s">
        <v>743</v>
      </c>
    </row>
    <row r="202" ht="40.5" customHeight="1">
      <c r="A202" s="27">
        <v>201.0</v>
      </c>
      <c r="B202" s="127" t="s">
        <v>744</v>
      </c>
      <c r="C202" s="128" t="s">
        <v>72</v>
      </c>
      <c r="D202" s="36" t="s">
        <v>205</v>
      </c>
      <c r="E202" s="128" t="s">
        <v>40</v>
      </c>
      <c r="F202" s="129">
        <v>46273.0</v>
      </c>
      <c r="G202" s="129">
        <v>46273.0</v>
      </c>
      <c r="H202" s="129">
        <v>46273.0</v>
      </c>
      <c r="I202" s="130">
        <v>46273.0</v>
      </c>
      <c r="J202" s="131" t="s">
        <v>160</v>
      </c>
      <c r="K202" s="132"/>
      <c r="L202" s="127" t="s">
        <v>745</v>
      </c>
      <c r="M202" s="134" t="s">
        <v>746</v>
      </c>
    </row>
    <row r="203" ht="40.5" customHeight="1">
      <c r="A203" s="27">
        <v>202.0</v>
      </c>
      <c r="B203" s="127" t="s">
        <v>747</v>
      </c>
      <c r="C203" s="128" t="s">
        <v>31</v>
      </c>
      <c r="D203" s="36" t="s">
        <v>205</v>
      </c>
      <c r="E203" s="128" t="s">
        <v>40</v>
      </c>
      <c r="F203" s="129">
        <v>46273.0</v>
      </c>
      <c r="G203" s="129">
        <v>46273.0</v>
      </c>
      <c r="H203" s="129">
        <v>46273.0</v>
      </c>
      <c r="I203" s="130">
        <v>46273.0</v>
      </c>
      <c r="J203" s="131" t="s">
        <v>160</v>
      </c>
      <c r="K203" s="132"/>
      <c r="L203" s="127" t="s">
        <v>748</v>
      </c>
      <c r="M203" s="134" t="s">
        <v>749</v>
      </c>
    </row>
    <row r="204" ht="40.5" customHeight="1">
      <c r="A204" s="27">
        <v>203.0</v>
      </c>
      <c r="B204" s="127" t="s">
        <v>750</v>
      </c>
      <c r="C204" s="128" t="s">
        <v>31</v>
      </c>
      <c r="D204" s="36" t="s">
        <v>205</v>
      </c>
      <c r="E204" s="128" t="s">
        <v>40</v>
      </c>
      <c r="F204" s="129">
        <v>46273.0</v>
      </c>
      <c r="G204" s="129">
        <v>46273.0</v>
      </c>
      <c r="H204" s="129">
        <v>46273.0</v>
      </c>
      <c r="I204" s="130">
        <v>46273.0</v>
      </c>
      <c r="J204" s="131" t="s">
        <v>160</v>
      </c>
      <c r="K204" s="132"/>
      <c r="L204" s="127" t="s">
        <v>751</v>
      </c>
      <c r="M204" s="134" t="s">
        <v>752</v>
      </c>
    </row>
    <row r="205" ht="40.5" customHeight="1">
      <c r="A205" s="27">
        <v>204.0</v>
      </c>
      <c r="B205" s="127" t="s">
        <v>753</v>
      </c>
      <c r="C205" s="128" t="s">
        <v>72</v>
      </c>
      <c r="D205" s="36" t="s">
        <v>205</v>
      </c>
      <c r="E205" s="128" t="s">
        <v>40</v>
      </c>
      <c r="F205" s="129">
        <v>46273.0</v>
      </c>
      <c r="G205" s="129">
        <v>46273.0</v>
      </c>
      <c r="H205" s="129">
        <v>46273.0</v>
      </c>
      <c r="I205" s="130">
        <v>46273.0</v>
      </c>
      <c r="J205" s="131" t="s">
        <v>160</v>
      </c>
      <c r="K205" s="132"/>
      <c r="L205" s="127" t="s">
        <v>754</v>
      </c>
      <c r="M205" s="134" t="s">
        <v>755</v>
      </c>
    </row>
    <row r="206" ht="40.5" customHeight="1">
      <c r="A206" s="27">
        <v>205.0</v>
      </c>
      <c r="B206" s="127" t="s">
        <v>756</v>
      </c>
      <c r="C206" s="128" t="s">
        <v>72</v>
      </c>
      <c r="D206" s="36" t="s">
        <v>205</v>
      </c>
      <c r="E206" s="128" t="s">
        <v>40</v>
      </c>
      <c r="F206" s="129">
        <v>46273.0</v>
      </c>
      <c r="G206" s="129">
        <v>46273.0</v>
      </c>
      <c r="H206" s="129">
        <v>46273.0</v>
      </c>
      <c r="I206" s="130">
        <v>46273.0</v>
      </c>
      <c r="J206" s="131" t="s">
        <v>160</v>
      </c>
      <c r="K206" s="132"/>
      <c r="L206" s="127" t="s">
        <v>331</v>
      </c>
      <c r="M206" s="134" t="s">
        <v>757</v>
      </c>
    </row>
    <row r="207" ht="40.5" customHeight="1">
      <c r="A207" s="27">
        <v>206.0</v>
      </c>
      <c r="B207" s="127" t="s">
        <v>758</v>
      </c>
      <c r="C207" s="128" t="s">
        <v>31</v>
      </c>
      <c r="D207" s="36" t="s">
        <v>205</v>
      </c>
      <c r="E207" s="128" t="s">
        <v>40</v>
      </c>
      <c r="F207" s="129">
        <v>46273.0</v>
      </c>
      <c r="G207" s="129">
        <v>46273.0</v>
      </c>
      <c r="H207" s="129">
        <v>46273.0</v>
      </c>
      <c r="I207" s="130">
        <v>46273.0</v>
      </c>
      <c r="J207" s="131" t="s">
        <v>160</v>
      </c>
      <c r="K207" s="132"/>
      <c r="L207" s="127" t="s">
        <v>331</v>
      </c>
      <c r="M207" s="134" t="s">
        <v>759</v>
      </c>
    </row>
    <row r="208" ht="40.5" customHeight="1">
      <c r="A208" s="27">
        <v>207.0</v>
      </c>
      <c r="B208" s="127" t="s">
        <v>760</v>
      </c>
      <c r="C208" s="128" t="s">
        <v>31</v>
      </c>
      <c r="D208" s="36" t="s">
        <v>205</v>
      </c>
      <c r="E208" s="128" t="s">
        <v>40</v>
      </c>
      <c r="F208" s="129">
        <v>46273.0</v>
      </c>
      <c r="G208" s="129">
        <v>46273.0</v>
      </c>
      <c r="H208" s="129">
        <v>46273.0</v>
      </c>
      <c r="I208" s="130">
        <v>46273.0</v>
      </c>
      <c r="J208" s="131" t="s">
        <v>160</v>
      </c>
      <c r="K208" s="132"/>
      <c r="L208" s="127" t="s">
        <v>331</v>
      </c>
      <c r="M208" s="134" t="s">
        <v>761</v>
      </c>
    </row>
    <row r="209" ht="40.5" customHeight="1">
      <c r="A209" s="27">
        <v>208.0</v>
      </c>
      <c r="B209" s="127" t="s">
        <v>762</v>
      </c>
      <c r="C209" s="128" t="s">
        <v>31</v>
      </c>
      <c r="D209" s="36" t="s">
        <v>205</v>
      </c>
      <c r="E209" s="128" t="s">
        <v>40</v>
      </c>
      <c r="F209" s="129">
        <v>46273.0</v>
      </c>
      <c r="G209" s="129">
        <v>46273.0</v>
      </c>
      <c r="H209" s="129">
        <v>46273.0</v>
      </c>
      <c r="I209" s="130">
        <v>46273.0</v>
      </c>
      <c r="J209" s="131" t="s">
        <v>160</v>
      </c>
      <c r="K209" s="132"/>
      <c r="L209" s="127" t="s">
        <v>331</v>
      </c>
      <c r="M209" s="134" t="s">
        <v>763</v>
      </c>
    </row>
    <row r="210" ht="40.5" customHeight="1">
      <c r="A210" s="27">
        <v>209.0</v>
      </c>
      <c r="B210" s="127" t="s">
        <v>764</v>
      </c>
      <c r="C210" s="128" t="s">
        <v>61</v>
      </c>
      <c r="D210" s="36" t="s">
        <v>205</v>
      </c>
      <c r="E210" s="128" t="s">
        <v>40</v>
      </c>
      <c r="F210" s="129">
        <v>46273.0</v>
      </c>
      <c r="G210" s="129">
        <v>46273.0</v>
      </c>
      <c r="H210" s="129">
        <v>46273.0</v>
      </c>
      <c r="I210" s="130">
        <v>46273.0</v>
      </c>
      <c r="J210" s="131" t="s">
        <v>160</v>
      </c>
      <c r="K210" s="132"/>
      <c r="L210" s="127"/>
      <c r="M210" s="161"/>
    </row>
    <row r="211" ht="40.5" customHeight="1">
      <c r="A211" s="27">
        <v>210.0</v>
      </c>
      <c r="B211" s="127" t="s">
        <v>765</v>
      </c>
      <c r="C211" s="128" t="s">
        <v>72</v>
      </c>
      <c r="D211" s="36" t="s">
        <v>205</v>
      </c>
      <c r="E211" s="128" t="s">
        <v>40</v>
      </c>
      <c r="F211" s="129">
        <v>46273.0</v>
      </c>
      <c r="G211" s="129">
        <v>46273.0</v>
      </c>
      <c r="H211" s="129">
        <v>46273.0</v>
      </c>
      <c r="I211" s="130">
        <v>46273.0</v>
      </c>
      <c r="J211" s="131" t="s">
        <v>160</v>
      </c>
      <c r="K211" s="132"/>
      <c r="L211" s="127"/>
      <c r="M211" s="161"/>
    </row>
    <row r="212" ht="40.5" customHeight="1">
      <c r="A212" s="27">
        <v>211.0</v>
      </c>
      <c r="B212" s="127" t="s">
        <v>766</v>
      </c>
      <c r="C212" s="128" t="s">
        <v>72</v>
      </c>
      <c r="D212" s="36" t="s">
        <v>205</v>
      </c>
      <c r="E212" s="128" t="s">
        <v>40</v>
      </c>
      <c r="F212" s="129">
        <v>46275.0</v>
      </c>
      <c r="G212" s="129">
        <v>46275.0</v>
      </c>
      <c r="H212" s="129">
        <v>46275.0</v>
      </c>
      <c r="I212" s="130">
        <v>46275.0</v>
      </c>
      <c r="J212" s="131" t="s">
        <v>160</v>
      </c>
      <c r="K212" s="132"/>
      <c r="L212" s="127" t="s">
        <v>767</v>
      </c>
      <c r="M212" s="134" t="s">
        <v>768</v>
      </c>
    </row>
    <row r="213" ht="40.5" customHeight="1">
      <c r="A213" s="27">
        <v>212.0</v>
      </c>
      <c r="B213" s="127" t="s">
        <v>769</v>
      </c>
      <c r="C213" s="128" t="s">
        <v>61</v>
      </c>
      <c r="D213" s="36" t="s">
        <v>205</v>
      </c>
      <c r="E213" s="128" t="s">
        <v>40</v>
      </c>
      <c r="F213" s="129">
        <v>46280.0</v>
      </c>
      <c r="G213" s="129">
        <v>46280.0</v>
      </c>
      <c r="H213" s="129">
        <v>46280.0</v>
      </c>
      <c r="I213" s="130">
        <v>46280.0</v>
      </c>
      <c r="J213" s="131" t="s">
        <v>160</v>
      </c>
      <c r="K213" s="132"/>
      <c r="L213" s="127" t="s">
        <v>770</v>
      </c>
      <c r="M213" s="134" t="s">
        <v>771</v>
      </c>
    </row>
    <row r="214" ht="40.5" customHeight="1">
      <c r="A214" s="27">
        <v>213.0</v>
      </c>
      <c r="B214" s="127" t="s">
        <v>772</v>
      </c>
      <c r="C214" s="128" t="s">
        <v>72</v>
      </c>
      <c r="D214" s="36" t="s">
        <v>205</v>
      </c>
      <c r="E214" s="128" t="s">
        <v>40</v>
      </c>
      <c r="F214" s="129">
        <v>46280.0</v>
      </c>
      <c r="G214" s="129">
        <v>46280.0</v>
      </c>
      <c r="H214" s="129">
        <v>46280.0</v>
      </c>
      <c r="I214" s="130">
        <v>46280.0</v>
      </c>
      <c r="J214" s="131" t="s">
        <v>160</v>
      </c>
      <c r="K214" s="132"/>
      <c r="L214" s="127" t="s">
        <v>773</v>
      </c>
      <c r="M214" s="161"/>
    </row>
    <row r="215" ht="40.5" customHeight="1">
      <c r="A215" s="27">
        <v>214.0</v>
      </c>
      <c r="B215" s="127" t="s">
        <v>774</v>
      </c>
      <c r="C215" s="128" t="s">
        <v>72</v>
      </c>
      <c r="D215" s="36" t="s">
        <v>205</v>
      </c>
      <c r="E215" s="128" t="s">
        <v>40</v>
      </c>
      <c r="F215" s="129">
        <v>46282.0</v>
      </c>
      <c r="G215" s="129">
        <v>46282.0</v>
      </c>
      <c r="H215" s="129">
        <v>46282.0</v>
      </c>
      <c r="I215" s="130">
        <v>46282.0</v>
      </c>
      <c r="J215" s="131" t="s">
        <v>160</v>
      </c>
      <c r="K215" s="132"/>
      <c r="L215" s="127" t="s">
        <v>775</v>
      </c>
      <c r="M215" s="134" t="s">
        <v>776</v>
      </c>
    </row>
    <row r="216" ht="40.5" customHeight="1">
      <c r="A216" s="27">
        <v>215.0</v>
      </c>
      <c r="B216" s="127" t="s">
        <v>777</v>
      </c>
      <c r="C216" s="128" t="s">
        <v>61</v>
      </c>
      <c r="D216" s="36" t="s">
        <v>205</v>
      </c>
      <c r="E216" s="128" t="s">
        <v>40</v>
      </c>
      <c r="F216" s="129">
        <v>46282.0</v>
      </c>
      <c r="G216" s="129">
        <v>46282.0</v>
      </c>
      <c r="H216" s="129">
        <v>46282.0</v>
      </c>
      <c r="I216" s="130">
        <v>46282.0</v>
      </c>
      <c r="J216" s="131" t="s">
        <v>160</v>
      </c>
      <c r="K216" s="132"/>
      <c r="L216" s="127" t="s">
        <v>331</v>
      </c>
      <c r="M216" s="134" t="s">
        <v>778</v>
      </c>
    </row>
    <row r="217" ht="40.5" customHeight="1">
      <c r="A217" s="27">
        <v>216.0</v>
      </c>
      <c r="B217" s="127" t="s">
        <v>779</v>
      </c>
      <c r="C217" s="128" t="s">
        <v>72</v>
      </c>
      <c r="D217" s="36" t="s">
        <v>205</v>
      </c>
      <c r="E217" s="128" t="s">
        <v>40</v>
      </c>
      <c r="F217" s="129">
        <v>46282.0</v>
      </c>
      <c r="G217" s="129">
        <v>46282.0</v>
      </c>
      <c r="H217" s="129">
        <v>46282.0</v>
      </c>
      <c r="I217" s="130">
        <v>46282.0</v>
      </c>
      <c r="J217" s="131" t="s">
        <v>160</v>
      </c>
      <c r="K217" s="132"/>
      <c r="L217" s="127" t="s">
        <v>331</v>
      </c>
      <c r="M217" s="134" t="s">
        <v>780</v>
      </c>
    </row>
    <row r="218" ht="40.5" customHeight="1">
      <c r="A218" s="27">
        <v>217.0</v>
      </c>
      <c r="B218" s="127" t="s">
        <v>781</v>
      </c>
      <c r="C218" s="128" t="s">
        <v>61</v>
      </c>
      <c r="D218" s="36" t="s">
        <v>205</v>
      </c>
      <c r="E218" s="128" t="s">
        <v>40</v>
      </c>
      <c r="F218" s="129">
        <v>46282.0</v>
      </c>
      <c r="G218" s="129">
        <v>46282.0</v>
      </c>
      <c r="H218" s="129">
        <v>46282.0</v>
      </c>
      <c r="I218" s="130">
        <v>46282.0</v>
      </c>
      <c r="J218" s="131" t="s">
        <v>160</v>
      </c>
      <c r="K218" s="132"/>
      <c r="L218" s="127" t="s">
        <v>773</v>
      </c>
      <c r="M218" s="161"/>
    </row>
    <row r="219" ht="40.5" customHeight="1">
      <c r="A219" s="27">
        <v>218.0</v>
      </c>
      <c r="B219" s="127" t="s">
        <v>782</v>
      </c>
      <c r="C219" s="128" t="s">
        <v>72</v>
      </c>
      <c r="D219" s="36" t="s">
        <v>205</v>
      </c>
      <c r="E219" s="128" t="s">
        <v>40</v>
      </c>
      <c r="F219" s="129">
        <v>46283.0</v>
      </c>
      <c r="G219" s="129">
        <v>46283.0</v>
      </c>
      <c r="H219" s="129">
        <v>46283.0</v>
      </c>
      <c r="I219" s="130">
        <v>46283.0</v>
      </c>
      <c r="J219" s="131" t="s">
        <v>160</v>
      </c>
      <c r="K219" s="132"/>
      <c r="L219" s="127" t="s">
        <v>783</v>
      </c>
      <c r="M219" s="134" t="s">
        <v>784</v>
      </c>
    </row>
    <row r="220" ht="40.5" customHeight="1">
      <c r="A220" s="27">
        <v>219.0</v>
      </c>
      <c r="B220" s="127" t="s">
        <v>785</v>
      </c>
      <c r="C220" s="128" t="s">
        <v>61</v>
      </c>
      <c r="D220" s="36" t="s">
        <v>205</v>
      </c>
      <c r="E220" s="128" t="s">
        <v>40</v>
      </c>
      <c r="F220" s="129">
        <v>46283.0</v>
      </c>
      <c r="G220" s="129">
        <v>46283.0</v>
      </c>
      <c r="H220" s="129">
        <v>46283.0</v>
      </c>
      <c r="I220" s="130">
        <v>46283.0</v>
      </c>
      <c r="J220" s="131" t="s">
        <v>160</v>
      </c>
      <c r="K220" s="127" t="s">
        <v>786</v>
      </c>
      <c r="L220" s="127" t="s">
        <v>773</v>
      </c>
      <c r="M220" s="161"/>
    </row>
    <row r="221" ht="40.5" customHeight="1">
      <c r="A221" s="27">
        <v>220.0</v>
      </c>
      <c r="B221" s="127" t="s">
        <v>787</v>
      </c>
      <c r="C221" s="128" t="s">
        <v>61</v>
      </c>
      <c r="D221" s="36" t="s">
        <v>205</v>
      </c>
      <c r="E221" s="128" t="s">
        <v>40</v>
      </c>
      <c r="F221" s="129">
        <v>46286.0</v>
      </c>
      <c r="G221" s="129">
        <v>46286.0</v>
      </c>
      <c r="H221" s="129">
        <v>46286.0</v>
      </c>
      <c r="I221" s="130">
        <v>46286.0</v>
      </c>
      <c r="J221" s="131" t="s">
        <v>160</v>
      </c>
      <c r="K221" s="132"/>
      <c r="L221" s="127" t="s">
        <v>788</v>
      </c>
      <c r="M221" s="134" t="s">
        <v>789</v>
      </c>
    </row>
    <row r="222" ht="40.5" customHeight="1">
      <c r="A222" s="27">
        <v>221.0</v>
      </c>
      <c r="B222" s="127" t="s">
        <v>790</v>
      </c>
      <c r="C222" s="128" t="s">
        <v>61</v>
      </c>
      <c r="D222" s="36" t="s">
        <v>205</v>
      </c>
      <c r="E222" s="128" t="s">
        <v>40</v>
      </c>
      <c r="F222" s="129">
        <v>46286.0</v>
      </c>
      <c r="G222" s="129">
        <v>46286.0</v>
      </c>
      <c r="H222" s="129">
        <v>46286.0</v>
      </c>
      <c r="I222" s="130">
        <v>46286.0</v>
      </c>
      <c r="J222" s="131" t="s">
        <v>160</v>
      </c>
      <c r="K222" s="132"/>
      <c r="L222" s="127" t="s">
        <v>331</v>
      </c>
      <c r="M222" s="134" t="s">
        <v>791</v>
      </c>
    </row>
    <row r="223" ht="40.5" customHeight="1">
      <c r="A223" s="27">
        <v>222.0</v>
      </c>
      <c r="B223" s="127" t="s">
        <v>792</v>
      </c>
      <c r="C223" s="128" t="s">
        <v>72</v>
      </c>
      <c r="D223" s="36" t="s">
        <v>205</v>
      </c>
      <c r="E223" s="128" t="s">
        <v>40</v>
      </c>
      <c r="F223" s="129">
        <v>46286.0</v>
      </c>
      <c r="G223" s="129">
        <v>46286.0</v>
      </c>
      <c r="H223" s="129">
        <v>46286.0</v>
      </c>
      <c r="I223" s="130">
        <v>46286.0</v>
      </c>
      <c r="J223" s="131" t="s">
        <v>160</v>
      </c>
      <c r="K223" s="132"/>
      <c r="L223" s="127" t="s">
        <v>773</v>
      </c>
      <c r="M223" s="161"/>
    </row>
    <row r="224" ht="40.5" customHeight="1">
      <c r="A224" s="27">
        <v>223.0</v>
      </c>
      <c r="B224" s="127" t="s">
        <v>793</v>
      </c>
      <c r="C224" s="128" t="s">
        <v>61</v>
      </c>
      <c r="D224" s="36" t="s">
        <v>205</v>
      </c>
      <c r="E224" s="128" t="s">
        <v>40</v>
      </c>
      <c r="F224" s="129">
        <v>46287.0</v>
      </c>
      <c r="G224" s="129">
        <v>46287.0</v>
      </c>
      <c r="H224" s="129">
        <v>46287.0</v>
      </c>
      <c r="I224" s="130">
        <v>46287.0</v>
      </c>
      <c r="J224" s="131" t="s">
        <v>160</v>
      </c>
      <c r="K224" s="132"/>
      <c r="L224" s="127" t="s">
        <v>794</v>
      </c>
      <c r="M224" s="134" t="s">
        <v>795</v>
      </c>
    </row>
    <row r="225" ht="40.5" customHeight="1">
      <c r="A225" s="27">
        <v>224.0</v>
      </c>
      <c r="B225" s="127" t="s">
        <v>796</v>
      </c>
      <c r="C225" s="128" t="s">
        <v>31</v>
      </c>
      <c r="D225" s="36" t="s">
        <v>205</v>
      </c>
      <c r="E225" s="128" t="s">
        <v>40</v>
      </c>
      <c r="F225" s="129">
        <v>46287.0</v>
      </c>
      <c r="G225" s="129">
        <v>46287.0</v>
      </c>
      <c r="H225" s="129">
        <v>46287.0</v>
      </c>
      <c r="I225" s="130">
        <v>46287.0</v>
      </c>
      <c r="J225" s="131" t="s">
        <v>160</v>
      </c>
      <c r="K225" s="132"/>
      <c r="L225" s="127" t="s">
        <v>797</v>
      </c>
      <c r="M225" s="134" t="s">
        <v>798</v>
      </c>
    </row>
    <row r="226" ht="40.5" customHeight="1">
      <c r="A226" s="27">
        <v>225.0</v>
      </c>
      <c r="B226" s="127" t="s">
        <v>799</v>
      </c>
      <c r="C226" s="128" t="s">
        <v>61</v>
      </c>
      <c r="D226" s="36" t="s">
        <v>205</v>
      </c>
      <c r="E226" s="128" t="s">
        <v>40</v>
      </c>
      <c r="F226" s="129">
        <v>46289.0</v>
      </c>
      <c r="G226" s="129">
        <v>46289.0</v>
      </c>
      <c r="H226" s="129">
        <v>46289.0</v>
      </c>
      <c r="I226" s="130">
        <v>46289.0</v>
      </c>
      <c r="J226" s="131" t="s">
        <v>160</v>
      </c>
      <c r="K226" s="132"/>
      <c r="L226" s="127" t="s">
        <v>773</v>
      </c>
      <c r="M226" s="161"/>
    </row>
    <row r="227" ht="40.5" customHeight="1">
      <c r="A227" s="27">
        <v>226.0</v>
      </c>
      <c r="B227" s="127" t="s">
        <v>800</v>
      </c>
      <c r="C227" s="128" t="s">
        <v>72</v>
      </c>
      <c r="D227" s="36" t="s">
        <v>205</v>
      </c>
      <c r="E227" s="128" t="s">
        <v>40</v>
      </c>
      <c r="F227" s="129">
        <v>46289.0</v>
      </c>
      <c r="G227" s="129">
        <v>46289.0</v>
      </c>
      <c r="H227" s="129">
        <v>46289.0</v>
      </c>
      <c r="I227" s="130">
        <v>46289.0</v>
      </c>
      <c r="J227" s="131" t="s">
        <v>160</v>
      </c>
      <c r="K227" s="162" t="s">
        <v>801</v>
      </c>
      <c r="L227" s="127" t="s">
        <v>773</v>
      </c>
      <c r="M227" s="161"/>
    </row>
    <row r="228" ht="40.5" customHeight="1">
      <c r="A228" s="27">
        <v>227.0</v>
      </c>
      <c r="B228" s="127" t="s">
        <v>802</v>
      </c>
      <c r="C228" s="128" t="s">
        <v>72</v>
      </c>
      <c r="D228" s="36" t="s">
        <v>205</v>
      </c>
      <c r="E228" s="128" t="s">
        <v>40</v>
      </c>
      <c r="F228" s="129">
        <v>46296.0</v>
      </c>
      <c r="G228" s="129">
        <v>46296.0</v>
      </c>
      <c r="H228" s="129">
        <v>46296.0</v>
      </c>
      <c r="I228" s="130">
        <v>46296.0</v>
      </c>
      <c r="J228" s="131" t="s">
        <v>160</v>
      </c>
      <c r="K228" s="132"/>
      <c r="L228" s="127"/>
      <c r="M228" s="161"/>
    </row>
    <row r="229" ht="40.5" customHeight="1">
      <c r="A229" s="27">
        <v>228.0</v>
      </c>
      <c r="B229" s="127" t="s">
        <v>803</v>
      </c>
      <c r="C229" s="128" t="s">
        <v>61</v>
      </c>
      <c r="D229" s="36" t="s">
        <v>205</v>
      </c>
      <c r="E229" s="128" t="s">
        <v>40</v>
      </c>
      <c r="F229" s="129">
        <v>46300.0</v>
      </c>
      <c r="G229" s="129">
        <v>46300.0</v>
      </c>
      <c r="H229" s="129">
        <v>46300.0</v>
      </c>
      <c r="I229" s="130">
        <v>46300.0</v>
      </c>
      <c r="J229" s="131" t="s">
        <v>160</v>
      </c>
      <c r="K229" s="132"/>
      <c r="L229" s="127" t="s">
        <v>804</v>
      </c>
      <c r="M229" s="134" t="s">
        <v>805</v>
      </c>
    </row>
    <row r="230" ht="40.5" customHeight="1">
      <c r="A230" s="27">
        <v>229.0</v>
      </c>
      <c r="B230" s="127" t="s">
        <v>806</v>
      </c>
      <c r="C230" s="128" t="s">
        <v>72</v>
      </c>
      <c r="D230" s="36" t="s">
        <v>205</v>
      </c>
      <c r="E230" s="128" t="s">
        <v>40</v>
      </c>
      <c r="F230" s="129">
        <v>46300.0</v>
      </c>
      <c r="G230" s="129">
        <v>46300.0</v>
      </c>
      <c r="H230" s="129">
        <v>46300.0</v>
      </c>
      <c r="I230" s="130">
        <v>46300.0</v>
      </c>
      <c r="J230" s="131" t="s">
        <v>160</v>
      </c>
      <c r="K230" s="132"/>
      <c r="L230" s="127" t="s">
        <v>807</v>
      </c>
      <c r="M230" s="134" t="s">
        <v>808</v>
      </c>
    </row>
    <row r="231" ht="40.5" customHeight="1">
      <c r="A231" s="27">
        <v>230.0</v>
      </c>
      <c r="B231" s="127" t="s">
        <v>809</v>
      </c>
      <c r="C231" s="128" t="s">
        <v>61</v>
      </c>
      <c r="D231" s="36" t="s">
        <v>205</v>
      </c>
      <c r="E231" s="128" t="s">
        <v>40</v>
      </c>
      <c r="F231" s="129">
        <v>46300.0</v>
      </c>
      <c r="G231" s="129">
        <v>46300.0</v>
      </c>
      <c r="H231" s="129">
        <v>46300.0</v>
      </c>
      <c r="I231" s="130">
        <v>46300.0</v>
      </c>
      <c r="J231" s="131" t="s">
        <v>160</v>
      </c>
      <c r="K231" s="132"/>
      <c r="L231" s="127" t="s">
        <v>810</v>
      </c>
      <c r="M231" s="134" t="s">
        <v>811</v>
      </c>
    </row>
    <row r="232" ht="40.5" customHeight="1">
      <c r="A232" s="27">
        <v>231.0</v>
      </c>
      <c r="B232" s="127" t="s">
        <v>812</v>
      </c>
      <c r="C232" s="128" t="s">
        <v>72</v>
      </c>
      <c r="D232" s="36" t="s">
        <v>205</v>
      </c>
      <c r="E232" s="128" t="s">
        <v>40</v>
      </c>
      <c r="F232" s="129">
        <v>46300.0</v>
      </c>
      <c r="G232" s="129">
        <v>46300.0</v>
      </c>
      <c r="H232" s="129">
        <v>46300.0</v>
      </c>
      <c r="I232" s="130">
        <v>46300.0</v>
      </c>
      <c r="J232" s="131" t="s">
        <v>160</v>
      </c>
      <c r="K232" s="132"/>
      <c r="L232" s="127" t="s">
        <v>813</v>
      </c>
      <c r="M232" s="134" t="s">
        <v>814</v>
      </c>
    </row>
    <row r="233" ht="40.5" customHeight="1">
      <c r="A233" s="27">
        <v>232.0</v>
      </c>
      <c r="B233" s="127" t="s">
        <v>815</v>
      </c>
      <c r="C233" s="128" t="s">
        <v>31</v>
      </c>
      <c r="D233" s="36" t="s">
        <v>205</v>
      </c>
      <c r="E233" s="128" t="s">
        <v>40</v>
      </c>
      <c r="F233" s="129">
        <v>46300.0</v>
      </c>
      <c r="G233" s="129">
        <v>46300.0</v>
      </c>
      <c r="H233" s="129">
        <v>46300.0</v>
      </c>
      <c r="I233" s="130">
        <v>46300.0</v>
      </c>
      <c r="J233" s="131" t="s">
        <v>160</v>
      </c>
      <c r="K233" s="132"/>
      <c r="L233" s="127" t="s">
        <v>816</v>
      </c>
      <c r="M233" s="134" t="s">
        <v>817</v>
      </c>
    </row>
    <row r="234" ht="40.5" customHeight="1">
      <c r="A234" s="27">
        <v>233.0</v>
      </c>
      <c r="B234" s="127" t="s">
        <v>818</v>
      </c>
      <c r="C234" s="128" t="s">
        <v>72</v>
      </c>
      <c r="D234" s="36" t="s">
        <v>205</v>
      </c>
      <c r="E234" s="128" t="s">
        <v>40</v>
      </c>
      <c r="F234" s="129">
        <v>46300.0</v>
      </c>
      <c r="G234" s="129">
        <v>46300.0</v>
      </c>
      <c r="H234" s="129">
        <v>46300.0</v>
      </c>
      <c r="I234" s="130">
        <v>46300.0</v>
      </c>
      <c r="J234" s="131" t="s">
        <v>160</v>
      </c>
      <c r="K234" s="132"/>
      <c r="L234" s="127" t="s">
        <v>331</v>
      </c>
      <c r="M234" s="134" t="s">
        <v>819</v>
      </c>
    </row>
    <row r="235" ht="40.5" customHeight="1">
      <c r="A235" s="27">
        <v>234.0</v>
      </c>
      <c r="B235" s="127" t="s">
        <v>820</v>
      </c>
      <c r="C235" s="128" t="s">
        <v>61</v>
      </c>
      <c r="D235" s="36" t="s">
        <v>205</v>
      </c>
      <c r="E235" s="128" t="s">
        <v>40</v>
      </c>
      <c r="F235" s="129">
        <v>46300.0</v>
      </c>
      <c r="G235" s="129">
        <v>46300.0</v>
      </c>
      <c r="H235" s="129">
        <v>46300.0</v>
      </c>
      <c r="I235" s="130">
        <v>46300.0</v>
      </c>
      <c r="J235" s="131" t="s">
        <v>160</v>
      </c>
      <c r="K235" s="132"/>
      <c r="L235" s="127" t="s">
        <v>331</v>
      </c>
      <c r="M235" s="134" t="s">
        <v>821</v>
      </c>
    </row>
    <row r="236" ht="40.5" customHeight="1">
      <c r="A236" s="27">
        <v>235.0</v>
      </c>
      <c r="B236" s="127" t="s">
        <v>822</v>
      </c>
      <c r="C236" s="128" t="s">
        <v>72</v>
      </c>
      <c r="D236" s="36" t="s">
        <v>205</v>
      </c>
      <c r="E236" s="128" t="s">
        <v>40</v>
      </c>
      <c r="F236" s="129">
        <v>46300.0</v>
      </c>
      <c r="G236" s="129">
        <v>46300.0</v>
      </c>
      <c r="H236" s="129">
        <v>46300.0</v>
      </c>
      <c r="I236" s="130">
        <v>46300.0</v>
      </c>
      <c r="J236" s="131" t="s">
        <v>160</v>
      </c>
      <c r="K236" s="132"/>
      <c r="L236" s="127" t="s">
        <v>331</v>
      </c>
      <c r="M236" s="134" t="s">
        <v>823</v>
      </c>
    </row>
    <row r="237" ht="40.5" customHeight="1">
      <c r="A237" s="27">
        <v>236.0</v>
      </c>
      <c r="B237" s="127" t="s">
        <v>824</v>
      </c>
      <c r="C237" s="128" t="s">
        <v>72</v>
      </c>
      <c r="D237" s="36" t="s">
        <v>205</v>
      </c>
      <c r="E237" s="128" t="s">
        <v>40</v>
      </c>
      <c r="F237" s="129">
        <v>46300.0</v>
      </c>
      <c r="G237" s="129">
        <v>46300.0</v>
      </c>
      <c r="H237" s="129">
        <v>46300.0</v>
      </c>
      <c r="I237" s="130">
        <v>46300.0</v>
      </c>
      <c r="J237" s="131" t="s">
        <v>160</v>
      </c>
      <c r="K237" s="132"/>
      <c r="L237" s="127" t="s">
        <v>331</v>
      </c>
      <c r="M237" s="134" t="s">
        <v>825</v>
      </c>
    </row>
    <row r="238" ht="40.5" customHeight="1">
      <c r="A238" s="27">
        <v>237.0</v>
      </c>
      <c r="B238" s="127" t="s">
        <v>826</v>
      </c>
      <c r="C238" s="128" t="s">
        <v>72</v>
      </c>
      <c r="D238" s="36" t="s">
        <v>205</v>
      </c>
      <c r="E238" s="128" t="s">
        <v>40</v>
      </c>
      <c r="F238" s="129">
        <v>46300.0</v>
      </c>
      <c r="G238" s="129">
        <v>46300.0</v>
      </c>
      <c r="H238" s="129">
        <v>46300.0</v>
      </c>
      <c r="I238" s="130">
        <v>46300.0</v>
      </c>
      <c r="J238" s="131" t="s">
        <v>160</v>
      </c>
      <c r="K238" s="132"/>
      <c r="L238" s="127" t="s">
        <v>331</v>
      </c>
      <c r="M238" s="134" t="s">
        <v>827</v>
      </c>
    </row>
    <row r="239" ht="40.5" customHeight="1">
      <c r="A239" s="27">
        <v>238.0</v>
      </c>
      <c r="B239" s="127" t="s">
        <v>828</v>
      </c>
      <c r="C239" s="128" t="s">
        <v>72</v>
      </c>
      <c r="D239" s="36" t="s">
        <v>205</v>
      </c>
      <c r="E239" s="128" t="s">
        <v>40</v>
      </c>
      <c r="F239" s="129">
        <v>46300.0</v>
      </c>
      <c r="G239" s="129">
        <v>46300.0</v>
      </c>
      <c r="H239" s="129">
        <v>46300.0</v>
      </c>
      <c r="I239" s="130">
        <v>46300.0</v>
      </c>
      <c r="J239" s="131" t="s">
        <v>160</v>
      </c>
      <c r="K239" s="132"/>
      <c r="L239" s="127" t="s">
        <v>331</v>
      </c>
      <c r="M239" s="134" t="s">
        <v>829</v>
      </c>
    </row>
    <row r="240" ht="40.5" customHeight="1">
      <c r="A240" s="27">
        <v>239.0</v>
      </c>
      <c r="B240" s="127" t="s">
        <v>830</v>
      </c>
      <c r="C240" s="128" t="s">
        <v>72</v>
      </c>
      <c r="D240" s="36" t="s">
        <v>205</v>
      </c>
      <c r="E240" s="128" t="s">
        <v>40</v>
      </c>
      <c r="F240" s="129">
        <v>46300.0</v>
      </c>
      <c r="G240" s="129">
        <v>46300.0</v>
      </c>
      <c r="H240" s="129">
        <v>46300.0</v>
      </c>
      <c r="I240" s="130">
        <v>46300.0</v>
      </c>
      <c r="J240" s="131" t="s">
        <v>160</v>
      </c>
      <c r="K240" s="132"/>
      <c r="L240" s="127"/>
      <c r="M240" s="161"/>
    </row>
    <row r="241" ht="40.5" customHeight="1">
      <c r="A241" s="27">
        <v>240.0</v>
      </c>
      <c r="B241" s="127" t="s">
        <v>831</v>
      </c>
      <c r="C241" s="128" t="s">
        <v>72</v>
      </c>
      <c r="D241" s="36" t="s">
        <v>205</v>
      </c>
      <c r="E241" s="128" t="s">
        <v>40</v>
      </c>
      <c r="F241" s="129">
        <v>46300.0</v>
      </c>
      <c r="G241" s="129">
        <v>46300.0</v>
      </c>
      <c r="H241" s="129">
        <v>46300.0</v>
      </c>
      <c r="I241" s="130">
        <v>46300.0</v>
      </c>
      <c r="J241" s="131" t="s">
        <v>160</v>
      </c>
      <c r="K241" s="132"/>
      <c r="L241" s="127"/>
      <c r="M241" s="161"/>
    </row>
    <row r="242" ht="40.5" customHeight="1">
      <c r="A242" s="27">
        <v>241.0</v>
      </c>
      <c r="B242" s="127" t="s">
        <v>832</v>
      </c>
      <c r="C242" s="128" t="s">
        <v>61</v>
      </c>
      <c r="D242" s="36" t="s">
        <v>205</v>
      </c>
      <c r="E242" s="128" t="s">
        <v>40</v>
      </c>
      <c r="F242" s="129">
        <v>46301.0</v>
      </c>
      <c r="G242" s="129">
        <v>46301.0</v>
      </c>
      <c r="H242" s="129">
        <v>46301.0</v>
      </c>
      <c r="I242" s="130">
        <v>46301.0</v>
      </c>
      <c r="J242" s="131" t="s">
        <v>160</v>
      </c>
      <c r="K242" s="132"/>
      <c r="L242" s="127" t="s">
        <v>833</v>
      </c>
      <c r="M242" s="134" t="s">
        <v>834</v>
      </c>
    </row>
    <row r="243" ht="40.5" customHeight="1">
      <c r="A243" s="27">
        <v>242.0</v>
      </c>
      <c r="B243" s="127" t="s">
        <v>835</v>
      </c>
      <c r="C243" s="128" t="s">
        <v>31</v>
      </c>
      <c r="D243" s="36" t="s">
        <v>205</v>
      </c>
      <c r="E243" s="128" t="s">
        <v>40</v>
      </c>
      <c r="F243" s="129">
        <v>46301.0</v>
      </c>
      <c r="G243" s="129">
        <v>46301.0</v>
      </c>
      <c r="H243" s="129">
        <v>46301.0</v>
      </c>
      <c r="I243" s="130">
        <v>46301.0</v>
      </c>
      <c r="J243" s="131" t="s">
        <v>160</v>
      </c>
      <c r="K243" s="132"/>
      <c r="L243" s="127" t="s">
        <v>836</v>
      </c>
      <c r="M243" s="134" t="s">
        <v>837</v>
      </c>
    </row>
    <row r="244" ht="40.5" customHeight="1">
      <c r="A244" s="27">
        <v>243.0</v>
      </c>
      <c r="B244" s="127" t="s">
        <v>838</v>
      </c>
      <c r="C244" s="128" t="s">
        <v>72</v>
      </c>
      <c r="D244" s="36" t="s">
        <v>205</v>
      </c>
      <c r="E244" s="128" t="s">
        <v>40</v>
      </c>
      <c r="F244" s="129">
        <v>46301.0</v>
      </c>
      <c r="G244" s="129">
        <v>46301.0</v>
      </c>
      <c r="H244" s="129">
        <v>46301.0</v>
      </c>
      <c r="I244" s="130">
        <v>46301.0</v>
      </c>
      <c r="J244" s="131" t="s">
        <v>160</v>
      </c>
      <c r="K244" s="132"/>
      <c r="L244" s="127" t="s">
        <v>839</v>
      </c>
      <c r="M244" s="134" t="s">
        <v>840</v>
      </c>
    </row>
    <row r="245" ht="40.5" customHeight="1">
      <c r="A245" s="27">
        <v>244.0</v>
      </c>
      <c r="B245" s="127" t="s">
        <v>841</v>
      </c>
      <c r="C245" s="128" t="s">
        <v>61</v>
      </c>
      <c r="D245" s="36" t="s">
        <v>205</v>
      </c>
      <c r="E245" s="128" t="s">
        <v>40</v>
      </c>
      <c r="F245" s="129">
        <v>46301.0</v>
      </c>
      <c r="G245" s="129">
        <v>46301.0</v>
      </c>
      <c r="H245" s="129">
        <v>46301.0</v>
      </c>
      <c r="I245" s="130">
        <v>46301.0</v>
      </c>
      <c r="J245" s="131" t="s">
        <v>160</v>
      </c>
      <c r="K245" s="162" t="s">
        <v>842</v>
      </c>
      <c r="L245" s="127"/>
      <c r="M245" s="161"/>
    </row>
    <row r="246" ht="40.5" customHeight="1">
      <c r="A246" s="27">
        <v>245.0</v>
      </c>
      <c r="B246" s="127" t="s">
        <v>843</v>
      </c>
      <c r="C246" s="128" t="s">
        <v>61</v>
      </c>
      <c r="D246" s="36" t="s">
        <v>205</v>
      </c>
      <c r="E246" s="128" t="s">
        <v>40</v>
      </c>
      <c r="F246" s="129">
        <v>46301.0</v>
      </c>
      <c r="G246" s="129">
        <v>46301.0</v>
      </c>
      <c r="H246" s="129">
        <v>46301.0</v>
      </c>
      <c r="I246" s="130">
        <v>46301.0</v>
      </c>
      <c r="J246" s="131" t="s">
        <v>160</v>
      </c>
      <c r="K246" s="162" t="s">
        <v>844</v>
      </c>
      <c r="L246" s="127"/>
      <c r="M246" s="161"/>
    </row>
    <row r="247" ht="40.5" customHeight="1">
      <c r="A247" s="27">
        <v>246.0</v>
      </c>
      <c r="B247" s="127" t="s">
        <v>845</v>
      </c>
      <c r="C247" s="128" t="s">
        <v>72</v>
      </c>
      <c r="D247" s="36" t="s">
        <v>205</v>
      </c>
      <c r="E247" s="128" t="s">
        <v>40</v>
      </c>
      <c r="F247" s="129">
        <v>46301.0</v>
      </c>
      <c r="G247" s="129">
        <v>46301.0</v>
      </c>
      <c r="H247" s="129">
        <v>46301.0</v>
      </c>
      <c r="I247" s="130">
        <v>46301.0</v>
      </c>
      <c r="J247" s="131" t="s">
        <v>160</v>
      </c>
      <c r="K247" s="132"/>
      <c r="L247" s="127"/>
      <c r="M247" s="161"/>
    </row>
    <row r="248" ht="40.5" customHeight="1">
      <c r="A248" s="27">
        <v>247.0</v>
      </c>
      <c r="B248" s="127" t="s">
        <v>846</v>
      </c>
      <c r="C248" s="128" t="s">
        <v>72</v>
      </c>
      <c r="D248" s="36" t="s">
        <v>205</v>
      </c>
      <c r="E248" s="128" t="s">
        <v>40</v>
      </c>
      <c r="F248" s="129">
        <v>46301.0</v>
      </c>
      <c r="G248" s="129">
        <v>46301.0</v>
      </c>
      <c r="H248" s="129">
        <v>46301.0</v>
      </c>
      <c r="I248" s="130">
        <v>46301.0</v>
      </c>
      <c r="J248" s="131" t="s">
        <v>160</v>
      </c>
      <c r="K248" s="127" t="s">
        <v>847</v>
      </c>
      <c r="L248" s="127"/>
      <c r="M248" s="161"/>
    </row>
    <row r="249" ht="40.5" customHeight="1">
      <c r="A249" s="27">
        <v>248.0</v>
      </c>
      <c r="B249" s="127" t="s">
        <v>848</v>
      </c>
      <c r="C249" s="128" t="s">
        <v>31</v>
      </c>
      <c r="D249" s="36" t="s">
        <v>205</v>
      </c>
      <c r="E249" s="128" t="s">
        <v>40</v>
      </c>
      <c r="F249" s="129">
        <v>46301.0</v>
      </c>
      <c r="G249" s="129">
        <v>46301.0</v>
      </c>
      <c r="H249" s="129">
        <v>46301.0</v>
      </c>
      <c r="I249" s="130">
        <v>46301.0</v>
      </c>
      <c r="J249" s="131" t="s">
        <v>160</v>
      </c>
      <c r="K249" s="132"/>
      <c r="L249" s="127"/>
      <c r="M249" s="161"/>
    </row>
    <row r="250" ht="40.5" customHeight="1">
      <c r="A250" s="27">
        <v>249.0</v>
      </c>
      <c r="B250" s="127" t="s">
        <v>849</v>
      </c>
      <c r="C250" s="128" t="s">
        <v>72</v>
      </c>
      <c r="D250" s="36" t="s">
        <v>205</v>
      </c>
      <c r="E250" s="128" t="s">
        <v>40</v>
      </c>
      <c r="F250" s="129">
        <v>46301.0</v>
      </c>
      <c r="G250" s="129">
        <v>46301.0</v>
      </c>
      <c r="H250" s="129">
        <v>46301.0</v>
      </c>
      <c r="I250" s="130">
        <v>46301.0</v>
      </c>
      <c r="J250" s="131" t="s">
        <v>160</v>
      </c>
      <c r="K250" s="132"/>
      <c r="L250" s="127"/>
      <c r="M250" s="161"/>
    </row>
    <row r="251" ht="40.5" customHeight="1">
      <c r="A251" s="27">
        <v>250.0</v>
      </c>
      <c r="B251" s="127" t="s">
        <v>850</v>
      </c>
      <c r="C251" s="128" t="s">
        <v>61</v>
      </c>
      <c r="D251" s="36" t="s">
        <v>205</v>
      </c>
      <c r="E251" s="128" t="s">
        <v>40</v>
      </c>
      <c r="F251" s="129">
        <v>46302.0</v>
      </c>
      <c r="G251" s="129">
        <v>46302.0</v>
      </c>
      <c r="H251" s="129">
        <v>46302.0</v>
      </c>
      <c r="I251" s="130">
        <v>46302.0</v>
      </c>
      <c r="J251" s="131" t="s">
        <v>160</v>
      </c>
      <c r="K251" s="127" t="s">
        <v>851</v>
      </c>
      <c r="L251" s="127" t="s">
        <v>852</v>
      </c>
      <c r="M251" s="134" t="s">
        <v>853</v>
      </c>
    </row>
    <row r="252" ht="40.5" customHeight="1">
      <c r="A252" s="27">
        <v>251.0</v>
      </c>
      <c r="B252" s="127" t="s">
        <v>854</v>
      </c>
      <c r="C252" s="128" t="s">
        <v>31</v>
      </c>
      <c r="D252" s="36" t="s">
        <v>205</v>
      </c>
      <c r="E252" s="128" t="s">
        <v>40</v>
      </c>
      <c r="F252" s="129">
        <v>46302.0</v>
      </c>
      <c r="G252" s="129">
        <v>46302.0</v>
      </c>
      <c r="H252" s="129">
        <v>46302.0</v>
      </c>
      <c r="I252" s="130">
        <v>46302.0</v>
      </c>
      <c r="J252" s="131" t="s">
        <v>160</v>
      </c>
      <c r="K252" s="127" t="s">
        <v>851</v>
      </c>
      <c r="L252" s="127" t="s">
        <v>855</v>
      </c>
      <c r="M252" s="134" t="s">
        <v>856</v>
      </c>
    </row>
    <row r="253" ht="40.5" customHeight="1">
      <c r="A253" s="27">
        <v>252.0</v>
      </c>
      <c r="B253" s="127" t="s">
        <v>857</v>
      </c>
      <c r="C253" s="128" t="s">
        <v>61</v>
      </c>
      <c r="D253" s="36" t="s">
        <v>205</v>
      </c>
      <c r="E253" s="128" t="s">
        <v>40</v>
      </c>
      <c r="F253" s="129">
        <v>46302.0</v>
      </c>
      <c r="G253" s="129">
        <v>46302.0</v>
      </c>
      <c r="H253" s="129">
        <v>46302.0</v>
      </c>
      <c r="I253" s="130">
        <v>46302.0</v>
      </c>
      <c r="J253" s="131" t="s">
        <v>160</v>
      </c>
      <c r="K253" s="127" t="s">
        <v>858</v>
      </c>
      <c r="L253" s="127"/>
      <c r="M253" s="161"/>
    </row>
    <row r="254" ht="40.5" customHeight="1">
      <c r="A254" s="27">
        <v>253.0</v>
      </c>
      <c r="B254" s="127" t="s">
        <v>859</v>
      </c>
      <c r="C254" s="128" t="s">
        <v>61</v>
      </c>
      <c r="D254" s="36" t="s">
        <v>205</v>
      </c>
      <c r="E254" s="128" t="s">
        <v>40</v>
      </c>
      <c r="F254" s="129">
        <v>46302.0</v>
      </c>
      <c r="G254" s="129">
        <v>46302.0</v>
      </c>
      <c r="H254" s="129">
        <v>46302.0</v>
      </c>
      <c r="I254" s="130">
        <v>46302.0</v>
      </c>
      <c r="J254" s="131" t="s">
        <v>160</v>
      </c>
      <c r="K254" s="162" t="s">
        <v>860</v>
      </c>
      <c r="L254" s="127"/>
      <c r="M254" s="161"/>
    </row>
    <row r="255" ht="40.5" customHeight="1">
      <c r="A255" s="27">
        <v>254.0</v>
      </c>
      <c r="B255" s="127" t="s">
        <v>861</v>
      </c>
      <c r="C255" s="128" t="s">
        <v>72</v>
      </c>
      <c r="D255" s="36" t="s">
        <v>205</v>
      </c>
      <c r="E255" s="128" t="s">
        <v>40</v>
      </c>
      <c r="F255" s="129">
        <v>46303.0</v>
      </c>
      <c r="G255" s="129">
        <v>46303.0</v>
      </c>
      <c r="H255" s="129">
        <v>46303.0</v>
      </c>
      <c r="I255" s="130">
        <v>46303.0</v>
      </c>
      <c r="J255" s="131" t="s">
        <v>160</v>
      </c>
      <c r="K255" s="132"/>
      <c r="L255" s="127" t="s">
        <v>862</v>
      </c>
      <c r="M255" s="134" t="s">
        <v>863</v>
      </c>
    </row>
    <row r="256" ht="40.5" customHeight="1">
      <c r="A256" s="27">
        <v>255.0</v>
      </c>
      <c r="B256" s="127" t="s">
        <v>864</v>
      </c>
      <c r="C256" s="128" t="s">
        <v>72</v>
      </c>
      <c r="D256" s="36" t="s">
        <v>205</v>
      </c>
      <c r="E256" s="128" t="s">
        <v>40</v>
      </c>
      <c r="F256" s="129">
        <v>46303.0</v>
      </c>
      <c r="G256" s="129">
        <v>46303.0</v>
      </c>
      <c r="H256" s="129">
        <v>46303.0</v>
      </c>
      <c r="I256" s="130">
        <v>46303.0</v>
      </c>
      <c r="J256" s="131" t="s">
        <v>160</v>
      </c>
      <c r="K256" s="132"/>
      <c r="L256" s="127" t="s">
        <v>865</v>
      </c>
      <c r="M256" s="134" t="s">
        <v>866</v>
      </c>
    </row>
    <row r="257" ht="40.5" customHeight="1">
      <c r="A257" s="27">
        <v>256.0</v>
      </c>
      <c r="B257" s="127" t="s">
        <v>867</v>
      </c>
      <c r="C257" s="128" t="s">
        <v>72</v>
      </c>
      <c r="D257" s="36" t="s">
        <v>205</v>
      </c>
      <c r="E257" s="128" t="s">
        <v>40</v>
      </c>
      <c r="F257" s="129">
        <v>46303.0</v>
      </c>
      <c r="G257" s="129">
        <v>46303.0</v>
      </c>
      <c r="H257" s="129">
        <v>46303.0</v>
      </c>
      <c r="I257" s="130">
        <v>46303.0</v>
      </c>
      <c r="J257" s="131" t="s">
        <v>160</v>
      </c>
      <c r="K257" s="132"/>
      <c r="L257" s="127" t="s">
        <v>868</v>
      </c>
      <c r="M257" s="134">
        <v>8140540.0</v>
      </c>
    </row>
    <row r="258" ht="40.5" customHeight="1">
      <c r="A258" s="27">
        <v>257.0</v>
      </c>
      <c r="B258" s="127" t="s">
        <v>869</v>
      </c>
      <c r="C258" s="128" t="s">
        <v>72</v>
      </c>
      <c r="D258" s="36" t="s">
        <v>205</v>
      </c>
      <c r="E258" s="128" t="s">
        <v>40</v>
      </c>
      <c r="F258" s="129">
        <v>46303.0</v>
      </c>
      <c r="G258" s="129">
        <v>46303.0</v>
      </c>
      <c r="H258" s="129">
        <v>46303.0</v>
      </c>
      <c r="I258" s="130">
        <v>46303.0</v>
      </c>
      <c r="J258" s="131" t="s">
        <v>160</v>
      </c>
      <c r="K258" s="132"/>
      <c r="L258" s="127" t="s">
        <v>870</v>
      </c>
      <c r="M258" s="134" t="s">
        <v>871</v>
      </c>
    </row>
    <row r="259" ht="40.5" customHeight="1">
      <c r="A259" s="27">
        <v>258.0</v>
      </c>
      <c r="B259" s="127" t="s">
        <v>872</v>
      </c>
      <c r="C259" s="128" t="s">
        <v>72</v>
      </c>
      <c r="D259" s="36" t="s">
        <v>205</v>
      </c>
      <c r="E259" s="128" t="s">
        <v>40</v>
      </c>
      <c r="F259" s="129">
        <v>46303.0</v>
      </c>
      <c r="G259" s="129">
        <v>46303.0</v>
      </c>
      <c r="H259" s="129">
        <v>46303.0</v>
      </c>
      <c r="I259" s="130">
        <v>46303.0</v>
      </c>
      <c r="J259" s="131" t="s">
        <v>160</v>
      </c>
      <c r="K259" s="127" t="s">
        <v>851</v>
      </c>
      <c r="L259" s="127" t="s">
        <v>873</v>
      </c>
      <c r="M259" s="134" t="s">
        <v>874</v>
      </c>
    </row>
    <row r="260" ht="40.5" customHeight="1">
      <c r="A260" s="27">
        <v>259.0</v>
      </c>
      <c r="B260" s="127" t="s">
        <v>875</v>
      </c>
      <c r="C260" s="128" t="s">
        <v>31</v>
      </c>
      <c r="D260" s="36" t="s">
        <v>205</v>
      </c>
      <c r="E260" s="128" t="s">
        <v>40</v>
      </c>
      <c r="F260" s="129">
        <v>46303.0</v>
      </c>
      <c r="G260" s="129">
        <v>46303.0</v>
      </c>
      <c r="H260" s="129">
        <v>46303.0</v>
      </c>
      <c r="I260" s="130">
        <v>46303.0</v>
      </c>
      <c r="J260" s="131" t="s">
        <v>160</v>
      </c>
      <c r="K260" s="132"/>
      <c r="L260" s="127"/>
      <c r="M260" s="161"/>
    </row>
    <row r="261" ht="40.5" customHeight="1">
      <c r="A261" s="27">
        <v>260.0</v>
      </c>
      <c r="B261" s="127" t="s">
        <v>876</v>
      </c>
      <c r="C261" s="128" t="s">
        <v>61</v>
      </c>
      <c r="D261" s="36" t="s">
        <v>205</v>
      </c>
      <c r="E261" s="128" t="s">
        <v>40</v>
      </c>
      <c r="F261" s="129">
        <v>46303.0</v>
      </c>
      <c r="G261" s="129">
        <v>46303.0</v>
      </c>
      <c r="H261" s="129">
        <v>46303.0</v>
      </c>
      <c r="I261" s="130">
        <v>46303.0</v>
      </c>
      <c r="J261" s="131" t="s">
        <v>160</v>
      </c>
      <c r="K261" s="127" t="s">
        <v>877</v>
      </c>
      <c r="L261" s="127"/>
      <c r="M261" s="161"/>
    </row>
    <row r="262" ht="40.5" customHeight="1">
      <c r="A262" s="27">
        <v>261.0</v>
      </c>
      <c r="B262" s="127" t="s">
        <v>878</v>
      </c>
      <c r="C262" s="128" t="s">
        <v>72</v>
      </c>
      <c r="D262" s="36" t="s">
        <v>205</v>
      </c>
      <c r="E262" s="128" t="s">
        <v>40</v>
      </c>
      <c r="F262" s="129">
        <v>46304.0</v>
      </c>
      <c r="G262" s="129">
        <v>46304.0</v>
      </c>
      <c r="H262" s="129">
        <v>46304.0</v>
      </c>
      <c r="I262" s="130">
        <v>46304.0</v>
      </c>
      <c r="J262" s="131" t="s">
        <v>160</v>
      </c>
      <c r="K262" s="127" t="s">
        <v>879</v>
      </c>
      <c r="L262" s="127" t="s">
        <v>880</v>
      </c>
      <c r="M262" s="161"/>
    </row>
    <row r="263" ht="40.5" customHeight="1">
      <c r="A263" s="27">
        <v>262.0</v>
      </c>
      <c r="B263" s="127" t="s">
        <v>881</v>
      </c>
      <c r="C263" s="128" t="s">
        <v>72</v>
      </c>
      <c r="D263" s="36" t="s">
        <v>205</v>
      </c>
      <c r="E263" s="128" t="s">
        <v>40</v>
      </c>
      <c r="F263" s="129">
        <v>46307.0</v>
      </c>
      <c r="G263" s="129">
        <v>46307.0</v>
      </c>
      <c r="H263" s="129">
        <v>46307.0</v>
      </c>
      <c r="I263" s="130">
        <v>46307.0</v>
      </c>
      <c r="J263" s="131" t="s">
        <v>160</v>
      </c>
      <c r="K263" s="132"/>
      <c r="L263" s="127" t="s">
        <v>882</v>
      </c>
      <c r="M263" s="134" t="s">
        <v>883</v>
      </c>
    </row>
    <row r="264" ht="40.5" customHeight="1">
      <c r="A264" s="27">
        <v>263.0</v>
      </c>
      <c r="B264" s="127" t="s">
        <v>884</v>
      </c>
      <c r="C264" s="128" t="s">
        <v>72</v>
      </c>
      <c r="D264" s="36" t="s">
        <v>205</v>
      </c>
      <c r="E264" s="128" t="s">
        <v>40</v>
      </c>
      <c r="F264" s="129">
        <v>46307.0</v>
      </c>
      <c r="G264" s="129">
        <v>46307.0</v>
      </c>
      <c r="H264" s="129">
        <v>46307.0</v>
      </c>
      <c r="I264" s="130">
        <v>46307.0</v>
      </c>
      <c r="J264" s="131" t="s">
        <v>160</v>
      </c>
      <c r="K264" s="132"/>
      <c r="L264" s="127" t="s">
        <v>885</v>
      </c>
      <c r="M264" s="134">
        <v>5729480.0</v>
      </c>
    </row>
    <row r="265" ht="40.5" customHeight="1">
      <c r="A265" s="27">
        <v>264.0</v>
      </c>
      <c r="B265" s="127" t="s">
        <v>886</v>
      </c>
      <c r="C265" s="128" t="s">
        <v>72</v>
      </c>
      <c r="D265" s="36" t="s">
        <v>205</v>
      </c>
      <c r="E265" s="128" t="s">
        <v>40</v>
      </c>
      <c r="F265" s="129">
        <v>46307.0</v>
      </c>
      <c r="G265" s="129">
        <v>46307.0</v>
      </c>
      <c r="H265" s="129">
        <v>46307.0</v>
      </c>
      <c r="I265" s="130">
        <v>46307.0</v>
      </c>
      <c r="J265" s="131" t="s">
        <v>160</v>
      </c>
      <c r="K265" s="132"/>
      <c r="L265" s="127" t="s">
        <v>887</v>
      </c>
      <c r="M265" s="134" t="s">
        <v>888</v>
      </c>
    </row>
    <row r="266" ht="40.5" customHeight="1">
      <c r="A266" s="27">
        <v>265.0</v>
      </c>
      <c r="B266" s="127" t="s">
        <v>889</v>
      </c>
      <c r="C266" s="128" t="s">
        <v>31</v>
      </c>
      <c r="D266" s="36" t="s">
        <v>205</v>
      </c>
      <c r="E266" s="128" t="s">
        <v>40</v>
      </c>
      <c r="F266" s="129">
        <v>46307.0</v>
      </c>
      <c r="G266" s="129">
        <v>46307.0</v>
      </c>
      <c r="H266" s="129">
        <v>46307.0</v>
      </c>
      <c r="I266" s="130">
        <v>46307.0</v>
      </c>
      <c r="J266" s="131" t="s">
        <v>160</v>
      </c>
      <c r="K266" s="132"/>
      <c r="L266" s="127" t="s">
        <v>890</v>
      </c>
      <c r="M266" s="161"/>
    </row>
    <row r="267" ht="40.5" customHeight="1">
      <c r="A267" s="27">
        <v>266.0</v>
      </c>
      <c r="B267" s="127" t="s">
        <v>891</v>
      </c>
      <c r="C267" s="128" t="s">
        <v>61</v>
      </c>
      <c r="D267" s="36" t="s">
        <v>205</v>
      </c>
      <c r="E267" s="128" t="s">
        <v>40</v>
      </c>
      <c r="F267" s="129">
        <v>46308.0</v>
      </c>
      <c r="G267" s="129">
        <v>46308.0</v>
      </c>
      <c r="H267" s="129">
        <v>46308.0</v>
      </c>
      <c r="I267" s="130">
        <v>46308.0</v>
      </c>
      <c r="J267" s="131" t="s">
        <v>160</v>
      </c>
      <c r="K267" s="132"/>
      <c r="L267" s="127" t="s">
        <v>892</v>
      </c>
      <c r="M267" s="134" t="s">
        <v>893</v>
      </c>
    </row>
    <row r="268" ht="40.5" customHeight="1">
      <c r="A268" s="27">
        <v>267.0</v>
      </c>
      <c r="B268" s="127" t="s">
        <v>894</v>
      </c>
      <c r="C268" s="128" t="s">
        <v>61</v>
      </c>
      <c r="D268" s="36" t="s">
        <v>205</v>
      </c>
      <c r="E268" s="128" t="s">
        <v>40</v>
      </c>
      <c r="F268" s="129">
        <v>46308.0</v>
      </c>
      <c r="G268" s="129">
        <v>46308.0</v>
      </c>
      <c r="H268" s="129">
        <v>46308.0</v>
      </c>
      <c r="I268" s="130">
        <v>46308.0</v>
      </c>
      <c r="J268" s="131" t="s">
        <v>160</v>
      </c>
      <c r="K268" s="132"/>
      <c r="L268" s="127" t="s">
        <v>895</v>
      </c>
      <c r="M268" s="134" t="s">
        <v>896</v>
      </c>
    </row>
    <row r="269" ht="40.5" customHeight="1">
      <c r="A269" s="27">
        <v>268.0</v>
      </c>
      <c r="B269" s="127" t="s">
        <v>897</v>
      </c>
      <c r="C269" s="128" t="s">
        <v>31</v>
      </c>
      <c r="D269" s="36" t="s">
        <v>205</v>
      </c>
      <c r="E269" s="128" t="s">
        <v>40</v>
      </c>
      <c r="F269" s="129">
        <v>46308.0</v>
      </c>
      <c r="G269" s="129">
        <v>46308.0</v>
      </c>
      <c r="H269" s="129">
        <v>46308.0</v>
      </c>
      <c r="I269" s="130">
        <v>46308.0</v>
      </c>
      <c r="J269" s="131" t="s">
        <v>160</v>
      </c>
      <c r="K269" s="132"/>
      <c r="L269" s="127" t="s">
        <v>898</v>
      </c>
      <c r="M269" s="134">
        <v>5516821.0</v>
      </c>
    </row>
    <row r="270" ht="40.5" customHeight="1">
      <c r="A270" s="27">
        <v>269.0</v>
      </c>
      <c r="B270" s="127" t="s">
        <v>899</v>
      </c>
      <c r="C270" s="128" t="s">
        <v>61</v>
      </c>
      <c r="D270" s="36" t="s">
        <v>205</v>
      </c>
      <c r="E270" s="128" t="s">
        <v>40</v>
      </c>
      <c r="F270" s="129">
        <v>46308.0</v>
      </c>
      <c r="G270" s="129">
        <v>46308.0</v>
      </c>
      <c r="H270" s="129">
        <v>46308.0</v>
      </c>
      <c r="I270" s="130">
        <v>46308.0</v>
      </c>
      <c r="J270" s="131" t="s">
        <v>160</v>
      </c>
      <c r="K270" s="132"/>
      <c r="L270" s="127" t="s">
        <v>900</v>
      </c>
      <c r="M270" s="134" t="s">
        <v>901</v>
      </c>
    </row>
    <row r="271" ht="40.5" customHeight="1">
      <c r="A271" s="27">
        <v>270.0</v>
      </c>
      <c r="B271" s="127" t="s">
        <v>902</v>
      </c>
      <c r="C271" s="128" t="s">
        <v>72</v>
      </c>
      <c r="D271" s="36" t="s">
        <v>205</v>
      </c>
      <c r="E271" s="128" t="s">
        <v>40</v>
      </c>
      <c r="F271" s="129">
        <v>46308.0</v>
      </c>
      <c r="G271" s="129">
        <v>46308.0</v>
      </c>
      <c r="H271" s="129">
        <v>46308.0</v>
      </c>
      <c r="I271" s="130">
        <v>46308.0</v>
      </c>
      <c r="J271" s="131" t="s">
        <v>160</v>
      </c>
      <c r="K271" s="132"/>
      <c r="L271" s="127" t="s">
        <v>903</v>
      </c>
      <c r="M271" s="134" t="s">
        <v>904</v>
      </c>
    </row>
    <row r="272" ht="40.5" customHeight="1">
      <c r="A272" s="27">
        <v>271.0</v>
      </c>
      <c r="B272" s="127" t="s">
        <v>905</v>
      </c>
      <c r="C272" s="128" t="s">
        <v>61</v>
      </c>
      <c r="D272" s="36" t="s">
        <v>205</v>
      </c>
      <c r="E272" s="128" t="s">
        <v>40</v>
      </c>
      <c r="F272" s="129">
        <v>46308.0</v>
      </c>
      <c r="G272" s="129">
        <v>46308.0</v>
      </c>
      <c r="H272" s="129">
        <v>46308.0</v>
      </c>
      <c r="I272" s="130">
        <v>46308.0</v>
      </c>
      <c r="J272" s="131" t="s">
        <v>160</v>
      </c>
      <c r="K272" s="132"/>
      <c r="L272" s="127" t="s">
        <v>906</v>
      </c>
      <c r="M272" s="134" t="s">
        <v>907</v>
      </c>
    </row>
    <row r="273" ht="40.5" customHeight="1">
      <c r="A273" s="27">
        <v>272.0</v>
      </c>
      <c r="B273" s="127" t="s">
        <v>908</v>
      </c>
      <c r="C273" s="128" t="s">
        <v>61</v>
      </c>
      <c r="D273" s="36" t="s">
        <v>205</v>
      </c>
      <c r="E273" s="128" t="s">
        <v>40</v>
      </c>
      <c r="F273" s="129">
        <v>46308.0</v>
      </c>
      <c r="G273" s="129">
        <v>46308.0</v>
      </c>
      <c r="H273" s="129">
        <v>46308.0</v>
      </c>
      <c r="I273" s="130">
        <v>46308.0</v>
      </c>
      <c r="J273" s="131" t="s">
        <v>160</v>
      </c>
      <c r="K273" s="132"/>
      <c r="L273" s="127" t="s">
        <v>909</v>
      </c>
      <c r="M273" s="134" t="s">
        <v>910</v>
      </c>
    </row>
    <row r="274" ht="40.5" customHeight="1">
      <c r="A274" s="27">
        <v>273.0</v>
      </c>
      <c r="B274" s="127" t="s">
        <v>911</v>
      </c>
      <c r="C274" s="128" t="s">
        <v>31</v>
      </c>
      <c r="D274" s="36" t="s">
        <v>205</v>
      </c>
      <c r="E274" s="128" t="s">
        <v>40</v>
      </c>
      <c r="F274" s="129">
        <v>46308.0</v>
      </c>
      <c r="G274" s="129">
        <v>46308.0</v>
      </c>
      <c r="H274" s="129">
        <v>46308.0</v>
      </c>
      <c r="I274" s="130">
        <v>46308.0</v>
      </c>
      <c r="J274" s="131" t="s">
        <v>160</v>
      </c>
      <c r="K274" s="132"/>
      <c r="L274" s="127" t="s">
        <v>912</v>
      </c>
      <c r="M274" s="134" t="s">
        <v>913</v>
      </c>
    </row>
    <row r="275" ht="40.5" customHeight="1">
      <c r="A275" s="27">
        <v>274.0</v>
      </c>
      <c r="B275" s="127" t="s">
        <v>914</v>
      </c>
      <c r="C275" s="128" t="s">
        <v>72</v>
      </c>
      <c r="D275" s="36" t="s">
        <v>205</v>
      </c>
      <c r="E275" s="128" t="s">
        <v>40</v>
      </c>
      <c r="F275" s="129">
        <v>46308.0</v>
      </c>
      <c r="G275" s="129">
        <v>46308.0</v>
      </c>
      <c r="H275" s="129">
        <v>46308.0</v>
      </c>
      <c r="I275" s="130">
        <v>46308.0</v>
      </c>
      <c r="J275" s="131" t="s">
        <v>160</v>
      </c>
      <c r="K275" s="127" t="s">
        <v>915</v>
      </c>
      <c r="L275" s="127"/>
      <c r="M275" s="161"/>
    </row>
    <row r="276" ht="40.5" customHeight="1">
      <c r="A276" s="27">
        <v>275.0</v>
      </c>
      <c r="B276" s="127" t="s">
        <v>916</v>
      </c>
      <c r="C276" s="128" t="s">
        <v>72</v>
      </c>
      <c r="D276" s="36" t="s">
        <v>205</v>
      </c>
      <c r="E276" s="128" t="s">
        <v>40</v>
      </c>
      <c r="F276" s="129">
        <v>46308.0</v>
      </c>
      <c r="G276" s="129">
        <v>46308.0</v>
      </c>
      <c r="H276" s="129">
        <v>46308.0</v>
      </c>
      <c r="I276" s="130">
        <v>46308.0</v>
      </c>
      <c r="J276" s="131" t="s">
        <v>160</v>
      </c>
      <c r="K276" s="132"/>
      <c r="L276" s="127"/>
      <c r="M276" s="161"/>
    </row>
    <row r="277" ht="40.5" customHeight="1">
      <c r="A277" s="27">
        <v>276.0</v>
      </c>
      <c r="B277" s="127" t="s">
        <v>917</v>
      </c>
      <c r="C277" s="128" t="s">
        <v>31</v>
      </c>
      <c r="D277" s="36" t="s">
        <v>205</v>
      </c>
      <c r="E277" s="128" t="s">
        <v>40</v>
      </c>
      <c r="F277" s="129">
        <v>46308.0</v>
      </c>
      <c r="G277" s="129">
        <v>46308.0</v>
      </c>
      <c r="H277" s="129">
        <v>46308.0</v>
      </c>
      <c r="I277" s="130">
        <v>46308.0</v>
      </c>
      <c r="J277" s="131" t="s">
        <v>160</v>
      </c>
      <c r="K277" s="162" t="s">
        <v>918</v>
      </c>
      <c r="L277" s="127"/>
      <c r="M277" s="161"/>
    </row>
    <row r="278" ht="40.5" customHeight="1">
      <c r="A278" s="27">
        <v>277.0</v>
      </c>
      <c r="B278" s="127" t="s">
        <v>919</v>
      </c>
      <c r="C278" s="128" t="s">
        <v>72</v>
      </c>
      <c r="D278" s="36" t="s">
        <v>205</v>
      </c>
      <c r="E278" s="128" t="s">
        <v>40</v>
      </c>
      <c r="F278" s="129">
        <v>46308.0</v>
      </c>
      <c r="G278" s="129">
        <v>46308.0</v>
      </c>
      <c r="H278" s="129">
        <v>46308.0</v>
      </c>
      <c r="I278" s="130">
        <v>46308.0</v>
      </c>
      <c r="J278" s="131" t="s">
        <v>160</v>
      </c>
      <c r="K278" s="132"/>
      <c r="L278" s="127"/>
      <c r="M278" s="161"/>
    </row>
    <row r="279" ht="40.5" customHeight="1">
      <c r="A279" s="27">
        <v>278.0</v>
      </c>
      <c r="B279" s="127" t="s">
        <v>920</v>
      </c>
      <c r="C279" s="128" t="s">
        <v>61</v>
      </c>
      <c r="D279" s="36" t="s">
        <v>205</v>
      </c>
      <c r="E279" s="128" t="s">
        <v>40</v>
      </c>
      <c r="F279" s="129">
        <v>46308.0</v>
      </c>
      <c r="G279" s="129">
        <v>46308.0</v>
      </c>
      <c r="H279" s="129">
        <v>46308.0</v>
      </c>
      <c r="I279" s="130">
        <v>46308.0</v>
      </c>
      <c r="J279" s="131" t="s">
        <v>160</v>
      </c>
      <c r="K279" s="132"/>
      <c r="L279" s="127"/>
      <c r="M279" s="161"/>
    </row>
    <row r="280" ht="40.5" customHeight="1">
      <c r="A280" s="27">
        <v>279.0</v>
      </c>
      <c r="B280" s="127" t="s">
        <v>921</v>
      </c>
      <c r="C280" s="128" t="s">
        <v>72</v>
      </c>
      <c r="D280" s="36" t="s">
        <v>205</v>
      </c>
      <c r="E280" s="128" t="s">
        <v>40</v>
      </c>
      <c r="F280" s="129">
        <v>46308.0</v>
      </c>
      <c r="G280" s="129">
        <v>46308.0</v>
      </c>
      <c r="H280" s="129">
        <v>46308.0</v>
      </c>
      <c r="I280" s="130">
        <v>46308.0</v>
      </c>
      <c r="J280" s="131" t="s">
        <v>160</v>
      </c>
      <c r="K280" s="132"/>
      <c r="L280" s="163" t="s">
        <v>922</v>
      </c>
      <c r="M280" s="161"/>
    </row>
    <row r="281" ht="40.5" customHeight="1">
      <c r="A281" s="27">
        <v>280.0</v>
      </c>
      <c r="B281" s="127" t="s">
        <v>923</v>
      </c>
      <c r="C281" s="128" t="s">
        <v>61</v>
      </c>
      <c r="D281" s="36" t="s">
        <v>205</v>
      </c>
      <c r="E281" s="128" t="s">
        <v>40</v>
      </c>
      <c r="F281" s="129">
        <v>46309.0</v>
      </c>
      <c r="G281" s="129">
        <v>46309.0</v>
      </c>
      <c r="H281" s="129">
        <v>46309.0</v>
      </c>
      <c r="I281" s="130">
        <v>46309.0</v>
      </c>
      <c r="J281" s="131" t="s">
        <v>160</v>
      </c>
      <c r="K281" s="132"/>
      <c r="L281" s="127" t="s">
        <v>924</v>
      </c>
      <c r="M281" s="134" t="s">
        <v>925</v>
      </c>
    </row>
    <row r="282" ht="40.5" customHeight="1">
      <c r="A282" s="27">
        <v>281.0</v>
      </c>
      <c r="B282" s="127" t="s">
        <v>926</v>
      </c>
      <c r="C282" s="128" t="s">
        <v>61</v>
      </c>
      <c r="D282" s="36" t="s">
        <v>205</v>
      </c>
      <c r="E282" s="128" t="s">
        <v>40</v>
      </c>
      <c r="F282" s="129">
        <v>46309.0</v>
      </c>
      <c r="G282" s="129">
        <v>46309.0</v>
      </c>
      <c r="H282" s="129">
        <v>46309.0</v>
      </c>
      <c r="I282" s="130">
        <v>46309.0</v>
      </c>
      <c r="J282" s="131" t="s">
        <v>160</v>
      </c>
      <c r="K282" s="132"/>
      <c r="L282" s="127"/>
      <c r="M282" s="161"/>
    </row>
    <row r="283" ht="40.5" customHeight="1">
      <c r="A283" s="27">
        <v>282.0</v>
      </c>
      <c r="B283" s="127" t="s">
        <v>927</v>
      </c>
      <c r="C283" s="128" t="s">
        <v>61</v>
      </c>
      <c r="D283" s="36" t="s">
        <v>205</v>
      </c>
      <c r="E283" s="128" t="s">
        <v>40</v>
      </c>
      <c r="F283" s="129">
        <v>46309.0</v>
      </c>
      <c r="G283" s="129">
        <v>46309.0</v>
      </c>
      <c r="H283" s="129">
        <v>46309.0</v>
      </c>
      <c r="I283" s="130">
        <v>46309.0</v>
      </c>
      <c r="J283" s="131" t="s">
        <v>160</v>
      </c>
      <c r="K283" s="132"/>
      <c r="L283" s="127"/>
      <c r="M283" s="161"/>
    </row>
    <row r="284" ht="40.5" customHeight="1">
      <c r="A284" s="27">
        <v>283.0</v>
      </c>
      <c r="B284" s="127" t="s">
        <v>928</v>
      </c>
      <c r="C284" s="128" t="s">
        <v>72</v>
      </c>
      <c r="D284" s="36" t="s">
        <v>205</v>
      </c>
      <c r="E284" s="128" t="s">
        <v>40</v>
      </c>
      <c r="F284" s="129">
        <v>46310.0</v>
      </c>
      <c r="G284" s="129">
        <v>46310.0</v>
      </c>
      <c r="H284" s="129">
        <v>46310.0</v>
      </c>
      <c r="I284" s="130">
        <v>46310.0</v>
      </c>
      <c r="J284" s="131" t="s">
        <v>160</v>
      </c>
      <c r="K284" s="132"/>
      <c r="L284" s="127" t="s">
        <v>929</v>
      </c>
      <c r="M284" s="134" t="s">
        <v>930</v>
      </c>
    </row>
    <row r="285" ht="40.5" customHeight="1">
      <c r="A285" s="27">
        <v>284.0</v>
      </c>
      <c r="B285" s="127" t="s">
        <v>931</v>
      </c>
      <c r="C285" s="128" t="s">
        <v>72</v>
      </c>
      <c r="D285" s="36" t="s">
        <v>205</v>
      </c>
      <c r="E285" s="128" t="s">
        <v>40</v>
      </c>
      <c r="F285" s="129">
        <v>46310.0</v>
      </c>
      <c r="G285" s="129">
        <v>46310.0</v>
      </c>
      <c r="H285" s="129">
        <v>46310.0</v>
      </c>
      <c r="I285" s="130">
        <v>46310.0</v>
      </c>
      <c r="J285" s="131" t="s">
        <v>160</v>
      </c>
      <c r="K285" s="132"/>
      <c r="L285" s="127"/>
      <c r="M285" s="161"/>
    </row>
    <row r="286" ht="40.5" customHeight="1">
      <c r="A286" s="27">
        <v>285.0</v>
      </c>
      <c r="B286" s="127" t="s">
        <v>932</v>
      </c>
      <c r="C286" s="128" t="s">
        <v>61</v>
      </c>
      <c r="D286" s="36" t="s">
        <v>205</v>
      </c>
      <c r="E286" s="128" t="s">
        <v>40</v>
      </c>
      <c r="F286" s="129">
        <v>46314.0</v>
      </c>
      <c r="G286" s="129">
        <v>46314.0</v>
      </c>
      <c r="H286" s="129">
        <v>46314.0</v>
      </c>
      <c r="I286" s="130">
        <v>46314.0</v>
      </c>
      <c r="J286" s="131" t="s">
        <v>160</v>
      </c>
      <c r="K286" s="132"/>
      <c r="L286" s="127" t="s">
        <v>933</v>
      </c>
      <c r="M286" s="134" t="s">
        <v>934</v>
      </c>
    </row>
    <row r="287" ht="40.5" customHeight="1">
      <c r="A287" s="27">
        <v>286.0</v>
      </c>
      <c r="B287" s="127" t="s">
        <v>935</v>
      </c>
      <c r="C287" s="128" t="s">
        <v>61</v>
      </c>
      <c r="D287" s="36" t="s">
        <v>205</v>
      </c>
      <c r="E287" s="128" t="s">
        <v>40</v>
      </c>
      <c r="F287" s="129">
        <v>46314.0</v>
      </c>
      <c r="G287" s="129">
        <v>46314.0</v>
      </c>
      <c r="H287" s="129">
        <v>46314.0</v>
      </c>
      <c r="I287" s="130">
        <v>46314.0</v>
      </c>
      <c r="J287" s="131" t="s">
        <v>160</v>
      </c>
      <c r="K287" s="127" t="s">
        <v>936</v>
      </c>
      <c r="L287" s="127" t="s">
        <v>937</v>
      </c>
      <c r="M287" s="161"/>
    </row>
    <row r="288" ht="40.5" customHeight="1">
      <c r="A288" s="27">
        <v>287.0</v>
      </c>
      <c r="B288" s="127" t="s">
        <v>938</v>
      </c>
      <c r="C288" s="128" t="s">
        <v>72</v>
      </c>
      <c r="D288" s="36" t="s">
        <v>205</v>
      </c>
      <c r="E288" s="128" t="s">
        <v>40</v>
      </c>
      <c r="F288" s="129">
        <v>46315.0</v>
      </c>
      <c r="G288" s="129">
        <v>46315.0</v>
      </c>
      <c r="H288" s="129">
        <v>46315.0</v>
      </c>
      <c r="I288" s="130">
        <v>46315.0</v>
      </c>
      <c r="J288" s="131" t="s">
        <v>160</v>
      </c>
      <c r="K288" s="132"/>
      <c r="L288" s="127" t="s">
        <v>939</v>
      </c>
      <c r="M288" s="134" t="s">
        <v>940</v>
      </c>
    </row>
    <row r="289" ht="40.5" customHeight="1">
      <c r="A289" s="164">
        <v>292.0</v>
      </c>
      <c r="B289" s="127" t="s">
        <v>941</v>
      </c>
      <c r="C289" s="128" t="s">
        <v>61</v>
      </c>
      <c r="D289" s="36" t="s">
        <v>205</v>
      </c>
      <c r="E289" s="128" t="s">
        <v>40</v>
      </c>
      <c r="F289" s="129">
        <v>46315.0</v>
      </c>
      <c r="G289" s="129">
        <v>46315.0</v>
      </c>
      <c r="H289" s="129">
        <v>46315.0</v>
      </c>
      <c r="I289" s="130">
        <v>46315.0</v>
      </c>
      <c r="J289" s="131" t="s">
        <v>160</v>
      </c>
      <c r="K289" s="165" t="s">
        <v>942</v>
      </c>
      <c r="L289" s="127" t="s">
        <v>943</v>
      </c>
      <c r="M289" s="161"/>
    </row>
    <row r="290" ht="40.5" customHeight="1">
      <c r="A290" s="164">
        <v>293.0</v>
      </c>
      <c r="B290" s="127" t="s">
        <v>944</v>
      </c>
      <c r="C290" s="128" t="s">
        <v>72</v>
      </c>
      <c r="D290" s="36" t="s">
        <v>205</v>
      </c>
      <c r="E290" s="128" t="s">
        <v>40</v>
      </c>
      <c r="F290" s="129">
        <v>46315.0</v>
      </c>
      <c r="G290" s="129">
        <v>46315.0</v>
      </c>
      <c r="H290" s="129">
        <v>46315.0</v>
      </c>
      <c r="I290" s="130">
        <v>46315.0</v>
      </c>
      <c r="J290" s="131" t="s">
        <v>160</v>
      </c>
      <c r="K290" s="127" t="s">
        <v>945</v>
      </c>
      <c r="L290" s="127"/>
      <c r="M290" s="161"/>
    </row>
    <row r="291" ht="40.5" customHeight="1">
      <c r="A291" s="164">
        <v>294.0</v>
      </c>
      <c r="B291" s="127" t="s">
        <v>946</v>
      </c>
      <c r="C291" s="128" t="s">
        <v>72</v>
      </c>
      <c r="D291" s="36" t="s">
        <v>205</v>
      </c>
      <c r="E291" s="128" t="s">
        <v>40</v>
      </c>
      <c r="F291" s="129">
        <v>46315.0</v>
      </c>
      <c r="G291" s="129">
        <v>46315.0</v>
      </c>
      <c r="H291" s="129">
        <v>46315.0</v>
      </c>
      <c r="I291" s="130">
        <v>46315.0</v>
      </c>
      <c r="J291" s="131" t="s">
        <v>160</v>
      </c>
      <c r="K291" s="132"/>
      <c r="L291" s="127"/>
      <c r="M291" s="161"/>
    </row>
    <row r="292" ht="40.5" customHeight="1">
      <c r="A292" s="164">
        <v>295</v>
      </c>
      <c r="B292" s="127" t="inlineStr">
        <is>
          <t xml:space="preserve">Policy-manager: integración inicial del IDP — módulo document-extraction, configuración del SDK y CI</t>
        </is>
      </c>
      <c r="C292" s="128" t="inlineStr">
        <is>
          <t xml:space="preserve">Alto</t>
        </is>
      </c>
      <c r="D292" s="36" t="inlineStr">
        <is>
          <t xml:space="preserve">LUIS HERNANDEZ MACIAS</t>
        </is>
      </c>
      <c r="E292" s="128" t="inlineStr">
        <is>
          <t xml:space="preserve">Completada</t>
        </is>
      </c>
      <c r="F292" s="129">
        <v>46303</v>
      </c>
      <c r="G292" s="129">
        <v>46303</v>
      </c>
      <c r="H292" s="129">
        <v>46303</v>
      </c>
      <c r="I292" s="130">
        <v>46303</v>
      </c>
      <c r="J292" s="131" t="inlineStr">
        <is>
          <t xml:space="preserve">FASE 4: CONSTRUCCIÓN Y CONTROL (Segundo bloque)</t>
        </is>
      </c>
      <c r="K292" s="132"/>
      <c r="L292" s="127" t="inlineStr">
        <is>
          <t xml:space="preserve">Commit b886843 (repo insurance-policy / policy-manager)</t>
        </is>
      </c>
      <c r="M292" s="161" t="str">
        <f>HYPERLINK("https://code.alsuper.com/Infraestructura/insurance-policy/-/commit/b886843","b886843")</f>
        <v>b886843</v>
      </c>
    </row>
    <row r="293" ht="40.5" customHeight="1">
      <c r="A293" s="164">
        <v>296</v>
      </c>
      <c r="B293" s="127" t="inlineStr">
        <is>
          <t xml:space="preserve">Policy-manager: refactor de componentes y servicios de extracción con IA y migración de extracción en una sola fila</t>
        </is>
      </c>
      <c r="C293" s="128" t="inlineStr">
        <is>
          <t xml:space="preserve">Alto</t>
        </is>
      </c>
      <c r="D293" s="36" t="inlineStr">
        <is>
          <t xml:space="preserve">LUIS HERNANDEZ MACIAS</t>
        </is>
      </c>
      <c r="E293" s="128" t="inlineStr">
        <is>
          <t xml:space="preserve">Completada</t>
        </is>
      </c>
      <c r="F293" s="129">
        <v>46303</v>
      </c>
      <c r="G293" s="129">
        <v>46303</v>
      </c>
      <c r="H293" s="129">
        <v>46303</v>
      </c>
      <c r="I293" s="130">
        <v>46303</v>
      </c>
      <c r="J293" s="131" t="inlineStr">
        <is>
          <t xml:space="preserve">FASE 4: CONSTRUCCIÓN Y CONTROL (Segundo bloque)</t>
        </is>
      </c>
      <c r="K293" s="132"/>
      <c r="L293" s="127" t="inlineStr">
        <is>
          <t xml:space="preserve">Commit d9d8f27 (repo insurance-policy / policy-manager)</t>
        </is>
      </c>
      <c r="M293" s="161" t="str">
        <f>HYPERLINK("https://code.alsuper.com/Infraestructura/insurance-policy/-/commit/d9d8f27","d9d8f27")</f>
        <v>d9d8f27</v>
      </c>
    </row>
    <row r="294" ht="40.5" customHeight="1">
      <c r="A294" s="164">
        <v>297</v>
      </c>
      <c r="B294" s="127" t="inlineStr">
        <is>
          <t xml:space="preserve">Policy-manager: panel de restauración del repositorio de documentos y ajustes de extracción</t>
        </is>
      </c>
      <c r="C294" s="128" t="inlineStr">
        <is>
          <t xml:space="preserve">Alto</t>
        </is>
      </c>
      <c r="D294" s="36" t="inlineStr">
        <is>
          <t xml:space="preserve">LUIS HERNANDEZ MACIAS</t>
        </is>
      </c>
      <c r="E294" s="128" t="inlineStr">
        <is>
          <t xml:space="preserve">Completada</t>
        </is>
      </c>
      <c r="F294" s="129">
        <v>46303</v>
      </c>
      <c r="G294" s="129">
        <v>46303</v>
      </c>
      <c r="H294" s="129">
        <v>46303</v>
      </c>
      <c r="I294" s="130">
        <v>46303</v>
      </c>
      <c r="J294" s="131" t="inlineStr">
        <is>
          <t xml:space="preserve">FASE 4: CONSTRUCCIÓN Y CONTROL (Segundo bloque)</t>
        </is>
      </c>
      <c r="K294" s="132"/>
      <c r="L294" s="127" t="inlineStr">
        <is>
          <t xml:space="preserve">Commit ce49278 (repo insurance-policy / policy-manager)</t>
        </is>
      </c>
      <c r="M294" s="161" t="str">
        <f>HYPERLINK("https://code.alsuper.com/Infraestructura/insurance-policy/-/commit/ce49278","ce49278")</f>
        <v>ce49278</v>
      </c>
    </row>
    <row r="295" ht="40.5" customHeight="1">
      <c r="A295" s="164">
        <v>298</v>
      </c>
      <c r="B295" s="127" t="inlineStr">
        <is>
          <t xml:space="preserve">Policy-manager: opciones de lectura con IA en la interfaz y lógica de extracción (tipos de documento)</t>
        </is>
      </c>
      <c r="C295" s="128" t="inlineStr">
        <is>
          <t xml:space="preserve">Bajo</t>
        </is>
      </c>
      <c r="D295" s="36" t="inlineStr">
        <is>
          <t xml:space="preserve">LUIS HERNANDEZ MACIAS</t>
        </is>
      </c>
      <c r="E295" s="128" t="inlineStr">
        <is>
          <t xml:space="preserve">Completada</t>
        </is>
      </c>
      <c r="F295" s="129">
        <v>46303</v>
      </c>
      <c r="G295" s="129">
        <v>46303</v>
      </c>
      <c r="H295" s="129">
        <v>46303</v>
      </c>
      <c r="I295" s="130">
        <v>46303</v>
      </c>
      <c r="J295" s="131" t="inlineStr">
        <is>
          <t xml:space="preserve">FASE 4: CONSTRUCCIÓN Y CONTROL (Segundo bloque)</t>
        </is>
      </c>
      <c r="K295" s="132"/>
      <c r="L295" s="127" t="inlineStr">
        <is>
          <t xml:space="preserve">Commit f276993 (repo insurance-policy / policy-manager)</t>
        </is>
      </c>
      <c r="M295" s="161" t="str">
        <f>HYPERLINK("https://code.alsuper.com/Infraestructura/insurance-policy/-/commit/f276993","f276993")</f>
        <v>f276993</v>
      </c>
    </row>
    <row r="296" ht="40.5" customHeight="1">
      <c r="A296" s="164">
        <v>299</v>
      </c>
      <c r="B296" s="127" t="inlineStr">
        <is>
          <t xml:space="preserve">Policy-manager: historia de usuario de lectura de certificados asistida por IA</t>
        </is>
      </c>
      <c r="C296" s="128" t="inlineStr">
        <is>
          <t xml:space="preserve">Medio</t>
        </is>
      </c>
      <c r="D296" s="36" t="inlineStr">
        <is>
          <t xml:space="preserve">LUIS HERNANDEZ MACIAS</t>
        </is>
      </c>
      <c r="E296" s="128" t="inlineStr">
        <is>
          <t xml:space="preserve">Completada</t>
        </is>
      </c>
      <c r="F296" s="129">
        <v>46321</v>
      </c>
      <c r="G296" s="129">
        <v>46321</v>
      </c>
      <c r="H296" s="129">
        <v>46321</v>
      </c>
      <c r="I296" s="130">
        <v>46321</v>
      </c>
      <c r="J296" s="131" t="inlineStr">
        <is>
          <t xml:space="preserve">FASE 4: CONSTRUCCIÓN Y CONTROL (Segundo bloque)</t>
        </is>
      </c>
      <c r="K296" s="132"/>
      <c r="L296" s="127" t="inlineStr">
        <is>
          <t xml:space="preserve">Commit fbacc41 (repo insurance-policy / policy-manager)</t>
        </is>
      </c>
      <c r="M296" s="161" t="str">
        <f>HYPERLINK("https://code.alsuper.com/Infraestructura/insurance-policy/-/commit/fbacc41","fbacc41")</f>
        <v>fbacc41</v>
      </c>
    </row>
    <row r="297" ht="40.5" customHeight="1">
      <c r="A297" s="164">
        <v>300</v>
      </c>
      <c r="B297" s="127" t="inlineStr">
        <is>
          <t xml:space="preserve">Policy-manager: CI/CD con IDP_SDK_SSH_KEY para construir con el SDK de forma segura</t>
        </is>
      </c>
      <c r="C297" s="128" t="inlineStr">
        <is>
          <t xml:space="preserve">Bajo</t>
        </is>
      </c>
      <c r="D297" s="36" t="inlineStr">
        <is>
          <t xml:space="preserve">LUIS HERNANDEZ MACIAS</t>
        </is>
      </c>
      <c r="E297" s="128" t="inlineStr">
        <is>
          <t xml:space="preserve">Completada</t>
        </is>
      </c>
      <c r="F297" s="129">
        <v>46321</v>
      </c>
      <c r="G297" s="129">
        <v>46321</v>
      </c>
      <c r="H297" s="129">
        <v>46321</v>
      </c>
      <c r="I297" s="130">
        <v>46321</v>
      </c>
      <c r="J297" s="131" t="inlineStr">
        <is>
          <t xml:space="preserve">FASE 4: CONSTRUCCIÓN Y CONTROL (Segundo bloque)</t>
        </is>
      </c>
      <c r="K297" s="132"/>
      <c r="L297" s="127" t="inlineStr">
        <is>
          <t xml:space="preserve">Commit c2b4121 (repo insurance-policy / policy-manager)</t>
        </is>
      </c>
      <c r="M297" s="161" t="str">
        <f>HYPERLINK("https://code.alsuper.com/Infraestructura/insurance-policy/-/commit/c2b4121","c2b4121")</f>
        <v>c2b4121</v>
      </c>
    </row>
    <row r="298" ht="40.5" customHeight="1">
      <c r="A298" s="164">
        <v>301</v>
      </c>
      <c r="B298" s="127" t="inlineStr">
        <is>
          <t xml:space="preserve">Policy-manager: detección opcional del rubro y mejoras de la lectura con IA</t>
        </is>
      </c>
      <c r="C298" s="128" t="inlineStr">
        <is>
          <t xml:space="preserve">Medio</t>
        </is>
      </c>
      <c r="D298" s="36" t="inlineStr">
        <is>
          <t xml:space="preserve">LUIS HERNANDEZ MACIAS</t>
        </is>
      </c>
      <c r="E298" s="128" t="inlineStr">
        <is>
          <t xml:space="preserve">Completada</t>
        </is>
      </c>
      <c r="F298" s="129">
        <v>46321</v>
      </c>
      <c r="G298" s="129">
        <v>46321</v>
      </c>
      <c r="H298" s="129">
        <v>46321</v>
      </c>
      <c r="I298" s="130">
        <v>46321</v>
      </c>
      <c r="J298" s="131" t="inlineStr">
        <is>
          <t xml:space="preserve">FASE 4: CONSTRUCCIÓN Y CONTROL (Segundo bloque)</t>
        </is>
      </c>
      <c r="K298" s="132"/>
      <c r="L298" s="127" t="inlineStr">
        <is>
          <t xml:space="preserve">Commit 9bae07d (repo insurance-policy / policy-manager)</t>
        </is>
      </c>
      <c r="M298" s="161" t="str">
        <f>HYPERLINK("https://code.alsuper.com/Infraestructura/insurance-policy/-/commit/9bae07d","9bae07d")</f>
        <v>9bae07d</v>
      </c>
    </row>
    <row r="299" ht="40.5" customHeight="1">
      <c r="A299" s="164">
        <v>302</v>
      </c>
      <c r="B299" s="127" t="inlineStr">
        <is>
          <t xml:space="preserve">Policy-manager: cobertura en la extracción de documentos de póliza (componente CoverageHint)</t>
        </is>
      </c>
      <c r="C299" s="128" t="inlineStr">
        <is>
          <t xml:space="preserve">Medio</t>
        </is>
      </c>
      <c r="D299" s="36" t="inlineStr">
        <is>
          <t xml:space="preserve">LUIS HERNANDEZ MACIAS</t>
        </is>
      </c>
      <c r="E299" s="128" t="inlineStr">
        <is>
          <t xml:space="preserve">Completada</t>
        </is>
      </c>
      <c r="F299" s="129">
        <v>46321</v>
      </c>
      <c r="G299" s="129">
        <v>46321</v>
      </c>
      <c r="H299" s="129">
        <v>46321</v>
      </c>
      <c r="I299" s="130">
        <v>46321</v>
      </c>
      <c r="J299" s="131" t="inlineStr">
        <is>
          <t xml:space="preserve">FASE 4: CONSTRUCCIÓN Y CONTROL (Segundo bloque)</t>
        </is>
      </c>
      <c r="K299" s="132"/>
      <c r="L299" s="127" t="inlineStr">
        <is>
          <t xml:space="preserve">Commit 5911c3c (repo insurance-policy / policy-manager)</t>
        </is>
      </c>
      <c r="M299" s="161" t="str">
        <f>HYPERLINK("https://code.alsuper.com/Infraestructura/insurance-policy/-/commit/5911c3c","5911c3c")</f>
        <v>5911c3c</v>
      </c>
    </row>
    <row r="300" ht="40.5" customHeight="1">
      <c r="A300" s="164">
        <v>303</v>
      </c>
      <c r="B300" s="127" t="inlineStr">
        <is>
          <t xml:space="preserve">Policy-manager: servicio de revisión de extracciones integrado al proceso de revisión de documentos</t>
        </is>
      </c>
      <c r="C300" s="128" t="inlineStr">
        <is>
          <t xml:space="preserve">Alto</t>
        </is>
      </c>
      <c r="D300" s="36" t="inlineStr">
        <is>
          <t xml:space="preserve">LUIS HERNANDEZ MACIAS</t>
        </is>
      </c>
      <c r="E300" s="128" t="inlineStr">
        <is>
          <t xml:space="preserve">Completada</t>
        </is>
      </c>
      <c r="F300" s="129">
        <v>46321</v>
      </c>
      <c r="G300" s="129">
        <v>46321</v>
      </c>
      <c r="H300" s="129">
        <v>46321</v>
      </c>
      <c r="I300" s="130">
        <v>46321</v>
      </c>
      <c r="J300" s="131" t="inlineStr">
        <is>
          <t xml:space="preserve">FASE 4: CONSTRUCCIÓN Y CONTROL (Segundo bloque)</t>
        </is>
      </c>
      <c r="K300" s="132"/>
      <c r="L300" s="127" t="inlineStr">
        <is>
          <t xml:space="preserve">Commit 5f0447d (repo insurance-policy / policy-manager)</t>
        </is>
      </c>
      <c r="M300" s="161" t="str">
        <f>HYPERLINK("https://code.alsuper.com/Infraestructura/insurance-policy/-/commit/5f0447d","5f0447d")</f>
        <v>5f0447d</v>
      </c>
    </row>
    <row r="301" ht="40.5" customHeight="1">
      <c r="A301" s="164">
        <v>304</v>
      </c>
      <c r="B301" s="127" t="inlineStr">
        <is>
          <t xml:space="preserve">Policy-manager: análisis de la integración del IDP y el SDK para subir documentos con IA y guardar la extracción en JSON ordenado</t>
        </is>
      </c>
      <c r="C301" s="128" t="inlineStr">
        <is>
          <t xml:space="preserve">Alto</t>
        </is>
      </c>
      <c r="D301" s="36" t="inlineStr">
        <is>
          <t xml:space="preserve">LUIS HERNANDEZ MACIAS</t>
        </is>
      </c>
      <c r="E301" s="128" t="inlineStr">
        <is>
          <t xml:space="preserve">Completada</t>
        </is>
      </c>
      <c r="F301" s="129">
        <v>46302</v>
      </c>
      <c r="G301" s="129">
        <v>46302</v>
      </c>
      <c r="H301" s="129">
        <v>46302</v>
      </c>
      <c r="I301" s="130">
        <v>46302</v>
      </c>
      <c r="J301" s="131" t="inlineStr">
        <is>
          <t xml:space="preserve">FASE 4: CONSTRUCCIÓN Y CONTROL (Segundo bloque)</t>
        </is>
      </c>
      <c r="K301" s="132"/>
      <c r="L301" s="127" t="inlineStr">
        <is>
          <t xml:space="preserve">Sesión Claude Code (policy-manager)</t>
        </is>
      </c>
      <c r="M301" s="161"/>
    </row>
    <row r="302" ht="40.5" customHeight="1">
      <c r="A302" s="164">
        <v>305</v>
      </c>
      <c r="B302" s="127" t="inlineStr">
        <is>
          <t xml:space="preserve">Policy-manager: alcance de la lectura con IA por inciso y sección para lanzar el procesamiento de todos los incisos</t>
        </is>
      </c>
      <c r="C302" s="128" t="inlineStr">
        <is>
          <t xml:space="preserve">Alto</t>
        </is>
      </c>
      <c r="D302" s="36" t="inlineStr">
        <is>
          <t xml:space="preserve">LUIS HERNANDEZ MACIAS</t>
        </is>
      </c>
      <c r="E302" s="128" t="inlineStr">
        <is>
          <t xml:space="preserve">Completada</t>
        </is>
      </c>
      <c r="F302" s="129">
        <v>46302</v>
      </c>
      <c r="G302" s="129">
        <v>46302</v>
      </c>
      <c r="H302" s="129">
        <v>46302</v>
      </c>
      <c r="I302" s="130">
        <v>46302</v>
      </c>
      <c r="J302" s="131" t="inlineStr">
        <is>
          <t xml:space="preserve">FASE 4: CONSTRUCCIÓN Y CONTROL (Segundo bloque)</t>
        </is>
      </c>
      <c r="K302" s="132"/>
      <c r="L302" s="127" t="inlineStr">
        <is>
          <t xml:space="preserve">Sesión Claude Code (policy-manager)</t>
        </is>
      </c>
      <c r="M302" s="161"/>
    </row>
    <row r="303" ht="40.5" customHeight="1">
      <c r="A303" s="164">
        <v>306</v>
      </c>
      <c r="B303" s="127" t="inlineStr">
        <is>
          <t xml:space="preserve">Policy-manager: pregunta opcional de procesar con IA al subir otra revisión de documento (solo incisos)</t>
        </is>
      </c>
      <c r="C303" s="128" t="inlineStr">
        <is>
          <t xml:space="preserve">Medio</t>
        </is>
      </c>
      <c r="D303" s="36" t="inlineStr">
        <is>
          <t xml:space="preserve">LUIS HERNANDEZ MACIAS</t>
        </is>
      </c>
      <c r="E303" s="128" t="inlineStr">
        <is>
          <t xml:space="preserve">Completada</t>
        </is>
      </c>
      <c r="F303" s="129">
        <v>46303</v>
      </c>
      <c r="G303" s="129">
        <v>46303</v>
      </c>
      <c r="H303" s="129">
        <v>46303</v>
      </c>
      <c r="I303" s="130">
        <v>46303</v>
      </c>
      <c r="J303" s="131" t="inlineStr">
        <is>
          <t xml:space="preserve">FASE 4: CONSTRUCCIÓN Y CONTROL (Segundo bloque)</t>
        </is>
      </c>
      <c r="K303" s="132"/>
      <c r="L303" s="127" t="inlineStr">
        <is>
          <t xml:space="preserve">Sesión Claude Code (policy-manager)</t>
        </is>
      </c>
      <c r="M303" s="161"/>
    </row>
    <row r="304" ht="40.5" customHeight="1">
      <c r="A304" s="164">
        <v>307</v>
      </c>
      <c r="B304" s="127" t="inlineStr">
        <is>
          <t xml:space="preserve">Policy-manager: sección de procesamiento masivo de una carpeta de documentos de incisos (GMM, vida, empresarial, flotilla)</t>
        </is>
      </c>
      <c r="C304" s="128" t="inlineStr">
        <is>
          <t xml:space="preserve">Alto</t>
        </is>
      </c>
      <c r="D304" s="36" t="inlineStr">
        <is>
          <t xml:space="preserve">LUIS HERNANDEZ MACIAS</t>
        </is>
      </c>
      <c r="E304" s="128" t="inlineStr">
        <is>
          <t xml:space="preserve">Completada</t>
        </is>
      </c>
      <c r="F304" s="129">
        <v>46303</v>
      </c>
      <c r="G304" s="129">
        <v>46303</v>
      </c>
      <c r="H304" s="129">
        <v>46303</v>
      </c>
      <c r="I304" s="130">
        <v>46303</v>
      </c>
      <c r="J304" s="131" t="inlineStr">
        <is>
          <t xml:space="preserve">FASE 4: CONSTRUCCIÓN Y CONTROL (Segundo bloque)</t>
        </is>
      </c>
      <c r="K304" s="132"/>
      <c r="L304" s="127" t="inlineStr">
        <is>
          <t xml:space="preserve">Sesión Claude Code (policy-manager)</t>
        </is>
      </c>
      <c r="M304" s="161"/>
    </row>
    <row r="305" ht="40.5" customHeight="1">
      <c r="A305" s="164">
        <v>308</v>
      </c>
      <c r="B305" s="127" t="inlineStr">
        <is>
          <t xml:space="preserve">Policy-manager: corrección del bloqueo de la lectura con IA en el panel de renovación masiva</t>
        </is>
      </c>
      <c r="C305" s="128" t="inlineStr">
        <is>
          <t xml:space="preserve">Medio</t>
        </is>
      </c>
      <c r="D305" s="36" t="inlineStr">
        <is>
          <t xml:space="preserve">LUIS HERNANDEZ MACIAS</t>
        </is>
      </c>
      <c r="E305" s="128" t="inlineStr">
        <is>
          <t xml:space="preserve">Completada</t>
        </is>
      </c>
      <c r="F305" s="129">
        <v>46303</v>
      </c>
      <c r="G305" s="129">
        <v>46303</v>
      </c>
      <c r="H305" s="129">
        <v>46303</v>
      </c>
      <c r="I305" s="130">
        <v>46303</v>
      </c>
      <c r="J305" s="131" t="inlineStr">
        <is>
          <t xml:space="preserve">FASE 4: CONSTRUCCIÓN Y CONTROL (Segundo bloque)</t>
        </is>
      </c>
      <c r="K305" s="132"/>
      <c r="L305" s="127" t="inlineStr">
        <is>
          <t xml:space="preserve">Sesión Claude Code (policy-manager)</t>
        </is>
      </c>
      <c r="M305" s="161"/>
    </row>
    <row r="306" ht="40.5" customHeight="1">
      <c r="A306" s="164">
        <v>309</v>
      </c>
      <c r="B306" s="127" t="inlineStr">
        <is>
          <t xml:space="preserve">Policy-manager: botón de lectura con IA solo durante la edición de la póliza, no en documentos de una póliza individual</t>
        </is>
      </c>
      <c r="C306" s="128" t="inlineStr">
        <is>
          <t xml:space="preserve">Bajo</t>
        </is>
      </c>
      <c r="D306" s="36" t="inlineStr">
        <is>
          <t xml:space="preserve">LUIS HERNANDEZ MACIAS</t>
        </is>
      </c>
      <c r="E306" s="128" t="inlineStr">
        <is>
          <t xml:space="preserve">Completada</t>
        </is>
      </c>
      <c r="F306" s="129">
        <v>46303</v>
      </c>
      <c r="G306" s="129">
        <v>46303</v>
      </c>
      <c r="H306" s="129">
        <v>46303</v>
      </c>
      <c r="I306" s="130">
        <v>46303</v>
      </c>
      <c r="J306" s="131" t="inlineStr">
        <is>
          <t xml:space="preserve">FASE 4: CONSTRUCCIÓN Y CONTROL (Segundo bloque)</t>
        </is>
      </c>
      <c r="K306" s="132"/>
      <c r="L306" s="127" t="inlineStr">
        <is>
          <t xml:space="preserve">Sesión Claude Code (policy-manager)</t>
        </is>
      </c>
      <c r="M306" s="161"/>
    </row>
    <row r="307" ht="40.5" customHeight="1">
      <c r="A307" s="164">
        <v>310</v>
      </c>
      <c r="B307" s="127" t="inlineStr">
        <is>
          <t xml:space="preserve">Policy-manager: certificado o inciso identificado por el documento del certificado de póliza en todos los rubros</t>
        </is>
      </c>
      <c r="C307" s="128" t="inlineStr">
        <is>
          <t xml:space="preserve">Medio</t>
        </is>
      </c>
      <c r="D307" s="36" t="inlineStr">
        <is>
          <t xml:space="preserve">LUIS HERNANDEZ MACIAS</t>
        </is>
      </c>
      <c r="E307" s="128" t="inlineStr">
        <is>
          <t xml:space="preserve">Completada</t>
        </is>
      </c>
      <c r="F307" s="129">
        <v>46303</v>
      </c>
      <c r="G307" s="129">
        <v>46303</v>
      </c>
      <c r="H307" s="129">
        <v>46303</v>
      </c>
      <c r="I307" s="130">
        <v>46303</v>
      </c>
      <c r="J307" s="131" t="inlineStr">
        <is>
          <t xml:space="preserve">FASE 4: CONSTRUCCIÓN Y CONTROL (Segundo bloque)</t>
        </is>
      </c>
      <c r="K307" s="132"/>
      <c r="L307" s="127" t="inlineStr">
        <is>
          <t xml:space="preserve">Sesión Claude Code (policy-manager)</t>
        </is>
      </c>
      <c r="M307" s="161"/>
    </row>
    <row r="308" ht="40.5" customHeight="1">
      <c r="A308" s="164">
        <v>311</v>
      </c>
      <c r="B308" s="127" t="inlineStr">
        <is>
          <t xml:space="preserve">Policy-manager: campo de rubro opcional en el schema de la lectura con IA del formulario de póliza</t>
        </is>
      </c>
      <c r="C308" s="128" t="inlineStr">
        <is>
          <t xml:space="preserve">Medio</t>
        </is>
      </c>
      <c r="D308" s="36" t="inlineStr">
        <is>
          <t xml:space="preserve">LUIS HERNANDEZ MACIAS</t>
        </is>
      </c>
      <c r="E308" s="128" t="inlineStr">
        <is>
          <t xml:space="preserve">Completada</t>
        </is>
      </c>
      <c r="F308" s="129">
        <v>46321</v>
      </c>
      <c r="G308" s="129">
        <v>46321</v>
      </c>
      <c r="H308" s="129">
        <v>46321</v>
      </c>
      <c r="I308" s="130">
        <v>46321</v>
      </c>
      <c r="J308" s="131" t="inlineStr">
        <is>
          <t xml:space="preserve">FASE 4: CONSTRUCCIÓN Y CONTROL (Segundo bloque)</t>
        </is>
      </c>
      <c r="K308" s="132"/>
      <c r="L308" s="127" t="inlineStr">
        <is>
          <t xml:space="preserve">Sesión Claude Code (policy-manager)</t>
        </is>
      </c>
      <c r="M308" s="161"/>
    </row>
    <row r="309" ht="40.5" customHeight="1">
      <c r="A309" s="164">
        <v>312</v>
      </c>
      <c r="B309" s="127" t="inlineStr">
        <is>
          <t xml:space="preserve">Policy-manager: flotilla — preasignación del activo por número de serie y precreación marcada cuando no existe</t>
        </is>
      </c>
      <c r="C309" s="128" t="inlineStr">
        <is>
          <t xml:space="preserve">Alto</t>
        </is>
      </c>
      <c r="D309" s="36" t="inlineStr">
        <is>
          <t xml:space="preserve">LUIS HERNANDEZ MACIAS</t>
        </is>
      </c>
      <c r="E309" s="128" t="inlineStr">
        <is>
          <t xml:space="preserve">Completada</t>
        </is>
      </c>
      <c r="F309" s="129">
        <v>46321</v>
      </c>
      <c r="G309" s="129">
        <v>46321</v>
      </c>
      <c r="H309" s="129">
        <v>46321</v>
      </c>
      <c r="I309" s="130">
        <v>46321</v>
      </c>
      <c r="J309" s="131" t="inlineStr">
        <is>
          <t xml:space="preserve">FASE 4: CONSTRUCCIÓN Y CONTROL (Segundo bloque)</t>
        </is>
      </c>
      <c r="K309" s="132"/>
      <c r="L309" s="127" t="inlineStr">
        <is>
          <t xml:space="preserve">Sesión Claude Code (policy-manager)</t>
        </is>
      </c>
      <c r="M309" s="161"/>
    </row>
    <row r="310" ht="40.5" customHeight="1">
      <c r="A310" s="164">
        <v>313</v>
      </c>
      <c r="B310" s="127" t="inlineStr">
        <is>
          <t xml:space="preserve">Policy-manager: análisis de tiempos de la lectura con IA y mejora de la detección de rubro y de la vista de resultados</t>
        </is>
      </c>
      <c r="C310" s="128" t="inlineStr">
        <is>
          <t xml:space="preserve">Medio</t>
        </is>
      </c>
      <c r="D310" s="36" t="inlineStr">
        <is>
          <t xml:space="preserve">LUIS HERNANDEZ MACIAS</t>
        </is>
      </c>
      <c r="E310" s="128" t="inlineStr">
        <is>
          <t xml:space="preserve">Completada</t>
        </is>
      </c>
      <c r="F310" s="129">
        <v>46321</v>
      </c>
      <c r="G310" s="129">
        <v>46321</v>
      </c>
      <c r="H310" s="129">
        <v>46321</v>
      </c>
      <c r="I310" s="130">
        <v>46321</v>
      </c>
      <c r="J310" s="131" t="inlineStr">
        <is>
          <t xml:space="preserve">FASE 4: CONSTRUCCIÓN Y CONTROL (Segundo bloque)</t>
        </is>
      </c>
      <c r="K310" s="132"/>
      <c r="L310" s="127" t="inlineStr">
        <is>
          <t xml:space="preserve">Sesión Claude Code (policy-manager)</t>
        </is>
      </c>
      <c r="M310" s="161"/>
    </row>
    <row r="311" ht="40.5" customHeight="1">
      <c r="A311" s="27"/>
      <c r="B311" s="29"/>
      <c r="C311" s="166"/>
      <c r="D311" s="93"/>
      <c r="E311" s="166"/>
      <c r="F311" s="167"/>
      <c r="G311" s="168"/>
      <c r="H311" s="167"/>
      <c r="I311" s="41"/>
      <c r="J311" s="169"/>
      <c r="K311" s="48"/>
      <c r="L311" s="93"/>
      <c r="M311" s="94"/>
    </row>
    <row r="312" ht="40.5" customHeight="1">
      <c r="A312" s="27"/>
      <c r="B312" s="29"/>
      <c r="C312" s="166"/>
      <c r="D312" s="93"/>
      <c r="E312" s="166"/>
      <c r="F312" s="167"/>
      <c r="G312" s="168"/>
      <c r="H312" s="167"/>
      <c r="I312" s="41"/>
      <c r="J312" s="169"/>
      <c r="K312" s="48"/>
      <c r="L312" s="93"/>
      <c r="M312" s="94"/>
    </row>
    <row r="313" ht="40.5" customHeight="1">
      <c r="A313" s="27"/>
      <c r="B313" s="29"/>
      <c r="C313" s="166"/>
      <c r="D313" s="93"/>
      <c r="E313" s="166"/>
      <c r="F313" s="167"/>
      <c r="G313" s="168"/>
      <c r="H313" s="167"/>
      <c r="I313" s="41"/>
      <c r="J313" s="169"/>
      <c r="K313" s="48"/>
      <c r="L313" s="93"/>
      <c r="M313" s="94"/>
    </row>
    <row r="314" ht="40.5" customHeight="1">
      <c r="A314" s="27"/>
      <c r="B314" s="29"/>
      <c r="C314" s="166"/>
      <c r="D314" s="93"/>
      <c r="E314" s="166"/>
      <c r="F314" s="167"/>
      <c r="G314" s="168"/>
      <c r="H314" s="167"/>
      <c r="I314" s="41"/>
      <c r="J314" s="169"/>
      <c r="K314" s="48"/>
      <c r="L314" s="93"/>
      <c r="M314" s="94"/>
    </row>
    <row r="315" ht="40.5" customHeight="1">
      <c r="A315" s="27"/>
      <c r="B315" s="29"/>
      <c r="C315" s="166"/>
      <c r="D315" s="93"/>
      <c r="E315" s="166"/>
      <c r="F315" s="167"/>
      <c r="G315" s="168"/>
      <c r="H315" s="167"/>
      <c r="I315" s="41"/>
      <c r="J315" s="169"/>
      <c r="K315" s="48"/>
      <c r="L315" s="93"/>
      <c r="M315" s="94"/>
    </row>
    <row r="316" ht="40.5" customHeight="1">
      <c r="A316" s="27"/>
      <c r="B316" s="29"/>
      <c r="C316" s="166"/>
      <c r="D316" s="93"/>
      <c r="E316" s="166"/>
      <c r="F316" s="167"/>
      <c r="G316" s="168"/>
      <c r="H316" s="167"/>
      <c r="I316" s="41"/>
      <c r="J316" s="169"/>
      <c r="K316" s="48"/>
      <c r="L316" s="93"/>
      <c r="M316" s="94"/>
    </row>
    <row r="317" ht="40.5" customHeight="1">
      <c r="A317" s="27"/>
      <c r="B317" s="29"/>
      <c r="C317" s="166"/>
      <c r="D317" s="93"/>
      <c r="E317" s="166"/>
      <c r="F317" s="167"/>
      <c r="G317" s="168"/>
      <c r="H317" s="167"/>
      <c r="I317" s="41"/>
      <c r="J317" s="169"/>
      <c r="K317" s="48"/>
      <c r="L317" s="93"/>
      <c r="M317" s="94"/>
    </row>
    <row r="318" ht="40.5" customHeight="1">
      <c r="A318" s="27"/>
      <c r="B318" s="29"/>
      <c r="C318" s="166"/>
      <c r="D318" s="93"/>
      <c r="E318" s="166"/>
      <c r="F318" s="167"/>
      <c r="G318" s="168"/>
      <c r="H318" s="167"/>
      <c r="I318" s="41"/>
      <c r="J318" s="169"/>
      <c r="K318" s="48"/>
      <c r="L318" s="93"/>
      <c r="M318" s="94"/>
    </row>
    <row r="319" ht="40.5" customHeight="1">
      <c r="A319" s="27"/>
      <c r="B319" s="29"/>
      <c r="C319" s="166"/>
      <c r="D319" s="93"/>
      <c r="E319" s="166"/>
      <c r="F319" s="167"/>
      <c r="G319" s="168"/>
      <c r="H319" s="167"/>
      <c r="I319" s="41"/>
      <c r="J319" s="169"/>
      <c r="K319" s="48"/>
      <c r="L319" s="93"/>
      <c r="M319" s="94"/>
    </row>
    <row r="320" ht="40.5" customHeight="1">
      <c r="A320" s="27"/>
      <c r="B320" s="29"/>
      <c r="C320" s="166"/>
      <c r="D320" s="93"/>
      <c r="E320" s="166"/>
      <c r="F320" s="167"/>
      <c r="G320" s="168"/>
      <c r="H320" s="167"/>
      <c r="I320" s="41"/>
      <c r="J320" s="169"/>
      <c r="K320" s="48"/>
      <c r="L320" s="93"/>
      <c r="M320" s="94"/>
    </row>
    <row r="321" ht="40.5" customHeight="1">
      <c r="A321" s="27"/>
      <c r="B321" s="29"/>
      <c r="C321" s="166"/>
      <c r="D321" s="93"/>
      <c r="E321" s="166"/>
      <c r="F321" s="167"/>
      <c r="G321" s="168"/>
      <c r="H321" s="167"/>
      <c r="I321" s="41"/>
      <c r="J321" s="169"/>
      <c r="K321" s="48"/>
      <c r="L321" s="93"/>
      <c r="M321" s="94"/>
    </row>
    <row r="322" ht="40.5" customHeight="1">
      <c r="A322" s="27"/>
      <c r="B322" s="29"/>
      <c r="C322" s="166"/>
      <c r="D322" s="93"/>
      <c r="E322" s="166"/>
      <c r="F322" s="167"/>
      <c r="G322" s="168"/>
      <c r="H322" s="167"/>
      <c r="I322" s="41"/>
      <c r="J322" s="169"/>
      <c r="K322" s="48"/>
      <c r="L322" s="93"/>
      <c r="M322" s="94"/>
    </row>
    <row r="323" ht="40.5" customHeight="1">
      <c r="A323" s="27"/>
      <c r="B323" s="29"/>
      <c r="C323" s="166"/>
      <c r="D323" s="93"/>
      <c r="E323" s="166"/>
      <c r="F323" s="167"/>
      <c r="G323" s="168"/>
      <c r="H323" s="167"/>
      <c r="I323" s="41"/>
      <c r="J323" s="169"/>
      <c r="K323" s="48"/>
      <c r="L323" s="93"/>
      <c r="M323" s="94"/>
    </row>
    <row r="324" ht="40.5" customHeight="1">
      <c r="A324" s="27"/>
      <c r="B324" s="29"/>
      <c r="C324" s="166"/>
      <c r="D324" s="93"/>
      <c r="E324" s="166"/>
      <c r="F324" s="167"/>
      <c r="G324" s="168"/>
      <c r="H324" s="167"/>
      <c r="I324" s="41"/>
      <c r="J324" s="169"/>
      <c r="K324" s="48"/>
      <c r="L324" s="93"/>
      <c r="M324" s="94"/>
    </row>
    <row r="325" ht="40.5" customHeight="1">
      <c r="A325" s="27"/>
      <c r="B325" s="29"/>
      <c r="C325" s="166"/>
      <c r="D325" s="93"/>
      <c r="E325" s="166"/>
      <c r="F325" s="167"/>
      <c r="G325" s="168"/>
      <c r="H325" s="167"/>
      <c r="I325" s="41"/>
      <c r="J325" s="169"/>
      <c r="K325" s="48"/>
      <c r="L325" s="93"/>
      <c r="M325" s="94"/>
    </row>
    <row r="326" ht="40.5" customHeight="1">
      <c r="A326" s="27"/>
      <c r="B326" s="29"/>
      <c r="C326" s="166"/>
      <c r="D326" s="93"/>
      <c r="E326" s="166"/>
      <c r="F326" s="167"/>
      <c r="G326" s="168"/>
      <c r="H326" s="167"/>
      <c r="I326" s="41"/>
      <c r="J326" s="169"/>
      <c r="K326" s="48"/>
      <c r="L326" s="93"/>
      <c r="M326" s="94"/>
    </row>
    <row r="327" ht="40.5" customHeight="1">
      <c r="A327" s="27"/>
      <c r="B327" s="29"/>
      <c r="C327" s="166"/>
      <c r="D327" s="93"/>
      <c r="E327" s="166"/>
      <c r="F327" s="167"/>
      <c r="G327" s="168"/>
      <c r="H327" s="167"/>
      <c r="I327" s="41"/>
      <c r="J327" s="169"/>
      <c r="K327" s="48"/>
      <c r="L327" s="93"/>
      <c r="M327" s="94"/>
    </row>
    <row r="328" ht="40.5" customHeight="1">
      <c r="A328" s="27"/>
      <c r="B328" s="29"/>
      <c r="C328" s="166"/>
      <c r="D328" s="93"/>
      <c r="E328" s="166"/>
      <c r="F328" s="167"/>
      <c r="G328" s="168"/>
      <c r="H328" s="167"/>
      <c r="I328" s="41"/>
      <c r="J328" s="169"/>
      <c r="K328" s="48"/>
      <c r="L328" s="93"/>
      <c r="M328" s="94"/>
    </row>
    <row r="329" ht="40.5" customHeight="1">
      <c r="A329" s="27"/>
      <c r="B329" s="29"/>
      <c r="C329" s="166"/>
      <c r="D329" s="93"/>
      <c r="E329" s="166"/>
      <c r="F329" s="167"/>
      <c r="G329" s="168"/>
      <c r="H329" s="167"/>
      <c r="I329" s="41"/>
      <c r="J329" s="169"/>
      <c r="K329" s="48"/>
      <c r="L329" s="93"/>
      <c r="M329" s="94"/>
    </row>
    <row r="330" ht="40.5" customHeight="1">
      <c r="A330" s="27"/>
      <c r="B330" s="29"/>
      <c r="C330" s="166"/>
      <c r="D330" s="93"/>
      <c r="E330" s="166"/>
      <c r="F330" s="167"/>
      <c r="G330" s="168"/>
      <c r="H330" s="167"/>
      <c r="I330" s="41"/>
      <c r="J330" s="169"/>
      <c r="K330" s="48"/>
      <c r="L330" s="93"/>
      <c r="M330" s="94"/>
    </row>
    <row r="331" ht="40.5" customHeight="1">
      <c r="A331" s="27"/>
      <c r="B331" s="29"/>
      <c r="C331" s="166"/>
      <c r="D331" s="93"/>
      <c r="E331" s="166"/>
      <c r="F331" s="167"/>
      <c r="G331" s="168"/>
      <c r="H331" s="167"/>
      <c r="I331" s="41"/>
      <c r="J331" s="169"/>
      <c r="K331" s="48"/>
      <c r="L331" s="93"/>
      <c r="M331" s="94"/>
    </row>
    <row r="332" ht="40.5" customHeight="1">
      <c r="A332" s="27"/>
      <c r="B332" s="29"/>
      <c r="C332" s="166"/>
      <c r="D332" s="93"/>
      <c r="E332" s="166"/>
      <c r="F332" s="167"/>
      <c r="G332" s="168"/>
      <c r="H332" s="167"/>
      <c r="I332" s="41"/>
      <c r="J332" s="169"/>
      <c r="K332" s="48"/>
      <c r="L332" s="93"/>
      <c r="M332" s="94"/>
    </row>
    <row r="333" ht="40.5" customHeight="1">
      <c r="A333" s="27"/>
      <c r="B333" s="29"/>
      <c r="C333" s="166"/>
      <c r="D333" s="93"/>
      <c r="E333" s="166"/>
      <c r="F333" s="167"/>
      <c r="G333" s="168"/>
      <c r="H333" s="167"/>
      <c r="I333" s="41"/>
      <c r="J333" s="169"/>
      <c r="K333" s="48"/>
      <c r="L333" s="93"/>
      <c r="M333" s="94"/>
    </row>
    <row r="334" ht="40.5" customHeight="1">
      <c r="A334" s="27"/>
      <c r="B334" s="29"/>
      <c r="C334" s="166"/>
      <c r="D334" s="93"/>
      <c r="E334" s="166"/>
      <c r="F334" s="167"/>
      <c r="G334" s="168"/>
      <c r="H334" s="167"/>
      <c r="I334" s="41"/>
      <c r="J334" s="169"/>
      <c r="K334" s="48"/>
      <c r="L334" s="93"/>
      <c r="M334" s="94"/>
    </row>
    <row r="335" ht="40.5" customHeight="1">
      <c r="A335" s="27"/>
      <c r="B335" s="29"/>
      <c r="C335" s="166"/>
      <c r="D335" s="93"/>
      <c r="E335" s="166"/>
      <c r="F335" s="167"/>
      <c r="G335" s="168"/>
      <c r="H335" s="167"/>
      <c r="I335" s="41"/>
      <c r="J335" s="169"/>
      <c r="K335" s="48"/>
      <c r="L335" s="93"/>
      <c r="M335" s="94"/>
    </row>
    <row r="336" ht="40.5" customHeight="1">
      <c r="A336" s="27"/>
      <c r="B336" s="29"/>
      <c r="C336" s="166"/>
      <c r="D336" s="93"/>
      <c r="E336" s="166"/>
      <c r="F336" s="167"/>
      <c r="G336" s="168"/>
      <c r="H336" s="167"/>
      <c r="I336" s="41"/>
      <c r="J336" s="169"/>
      <c r="K336" s="48"/>
      <c r="L336" s="93"/>
      <c r="M336" s="94"/>
    </row>
    <row r="337" ht="40.5" customHeight="1">
      <c r="A337" s="27"/>
      <c r="B337" s="29"/>
      <c r="C337" s="166"/>
      <c r="D337" s="93"/>
      <c r="E337" s="166"/>
      <c r="F337" s="167"/>
      <c r="G337" s="168"/>
      <c r="H337" s="167"/>
      <c r="I337" s="41"/>
      <c r="J337" s="169"/>
      <c r="K337" s="48"/>
      <c r="L337" s="93"/>
      <c r="M337" s="94"/>
    </row>
    <row r="338" ht="40.5" customHeight="1">
      <c r="A338" s="27"/>
      <c r="B338" s="29"/>
      <c r="C338" s="166"/>
      <c r="D338" s="93"/>
      <c r="E338" s="166"/>
      <c r="F338" s="167"/>
      <c r="G338" s="168"/>
      <c r="H338" s="167"/>
      <c r="I338" s="41"/>
      <c r="J338" s="169"/>
      <c r="K338" s="48"/>
      <c r="L338" s="93"/>
      <c r="M338" s="94"/>
    </row>
    <row r="339" ht="40.5" customHeight="1">
      <c r="A339" s="27"/>
      <c r="B339" s="29"/>
      <c r="C339" s="166"/>
      <c r="D339" s="93"/>
      <c r="E339" s="166"/>
      <c r="F339" s="167"/>
      <c r="G339" s="168"/>
      <c r="H339" s="167"/>
      <c r="I339" s="41"/>
      <c r="J339" s="169"/>
      <c r="K339" s="48"/>
      <c r="L339" s="93"/>
      <c r="M339" s="94"/>
    </row>
    <row r="340" ht="40.5" customHeight="1">
      <c r="A340" s="27"/>
      <c r="B340" s="29"/>
      <c r="C340" s="166"/>
      <c r="D340" s="93"/>
      <c r="E340" s="166"/>
      <c r="F340" s="167"/>
      <c r="G340" s="168"/>
      <c r="H340" s="167"/>
      <c r="I340" s="41"/>
      <c r="J340" s="169"/>
      <c r="K340" s="48"/>
      <c r="L340" s="93"/>
      <c r="M340" s="94"/>
    </row>
    <row r="341" ht="40.5" customHeight="1">
      <c r="A341" s="27"/>
      <c r="B341" s="29"/>
      <c r="C341" s="166"/>
      <c r="D341" s="93"/>
      <c r="E341" s="166"/>
      <c r="F341" s="167"/>
      <c r="G341" s="168"/>
      <c r="H341" s="167"/>
      <c r="I341" s="41"/>
      <c r="J341" s="169"/>
      <c r="K341" s="48"/>
      <c r="L341" s="93"/>
      <c r="M341" s="94"/>
    </row>
    <row r="342" ht="40.5" customHeight="1">
      <c r="A342" s="27"/>
      <c r="B342" s="29"/>
      <c r="C342" s="166"/>
      <c r="D342" s="93"/>
      <c r="E342" s="166"/>
      <c r="F342" s="167"/>
      <c r="G342" s="168"/>
      <c r="H342" s="167"/>
      <c r="I342" s="41"/>
      <c r="J342" s="169"/>
      <c r="K342" s="48"/>
      <c r="L342" s="93"/>
      <c r="M342" s="94"/>
    </row>
    <row r="343" ht="40.5" customHeight="1">
      <c r="A343" s="27"/>
      <c r="B343" s="29"/>
      <c r="C343" s="166"/>
      <c r="D343" s="93"/>
      <c r="E343" s="166"/>
      <c r="F343" s="167"/>
      <c r="G343" s="168"/>
      <c r="H343" s="167"/>
      <c r="I343" s="41"/>
      <c r="J343" s="169"/>
      <c r="K343" s="48"/>
      <c r="L343" s="93"/>
      <c r="M343" s="94"/>
    </row>
    <row r="344" ht="40.5" customHeight="1">
      <c r="A344" s="27"/>
      <c r="B344" s="29"/>
      <c r="C344" s="166"/>
      <c r="D344" s="93"/>
      <c r="E344" s="166"/>
      <c r="F344" s="167"/>
      <c r="G344" s="168"/>
      <c r="H344" s="167"/>
      <c r="I344" s="41"/>
      <c r="J344" s="169"/>
      <c r="K344" s="48"/>
      <c r="L344" s="93"/>
      <c r="M344" s="94"/>
    </row>
    <row r="345" ht="40.5" customHeight="1">
      <c r="A345" s="27"/>
      <c r="B345" s="29"/>
      <c r="C345" s="166"/>
      <c r="D345" s="93"/>
      <c r="E345" s="166"/>
      <c r="F345" s="167"/>
      <c r="G345" s="168"/>
      <c r="H345" s="167"/>
      <c r="I345" s="41"/>
      <c r="J345" s="169"/>
      <c r="K345" s="48"/>
      <c r="L345" s="93"/>
      <c r="M345" s="94"/>
    </row>
    <row r="346" ht="40.5" customHeight="1">
      <c r="A346" s="27"/>
      <c r="B346" s="29"/>
      <c r="C346" s="166"/>
      <c r="D346" s="93"/>
      <c r="E346" s="166"/>
      <c r="F346" s="167"/>
      <c r="G346" s="168"/>
      <c r="H346" s="167"/>
      <c r="I346" s="41"/>
      <c r="J346" s="169"/>
      <c r="K346" s="48"/>
      <c r="L346" s="93"/>
      <c r="M346" s="94"/>
    </row>
    <row r="347" ht="40.5" customHeight="1">
      <c r="A347" s="27"/>
      <c r="B347" s="29"/>
      <c r="C347" s="166"/>
      <c r="D347" s="93"/>
      <c r="E347" s="166"/>
      <c r="F347" s="167"/>
      <c r="G347" s="168"/>
      <c r="H347" s="167"/>
      <c r="I347" s="41"/>
      <c r="J347" s="169"/>
      <c r="K347" s="48"/>
      <c r="L347" s="93"/>
      <c r="M347" s="94"/>
    </row>
    <row r="348" ht="40.5" customHeight="1">
      <c r="A348" s="27"/>
      <c r="B348" s="29"/>
      <c r="C348" s="166"/>
      <c r="D348" s="93"/>
      <c r="E348" s="166"/>
      <c r="F348" s="167"/>
      <c r="G348" s="168"/>
      <c r="H348" s="167"/>
      <c r="I348" s="41"/>
      <c r="J348" s="169"/>
      <c r="K348" s="48"/>
      <c r="L348" s="93"/>
      <c r="M348" s="94"/>
    </row>
    <row r="349" ht="40.5" customHeight="1">
      <c r="A349" s="27"/>
      <c r="B349" s="29"/>
      <c r="C349" s="166"/>
      <c r="D349" s="93"/>
      <c r="E349" s="166"/>
      <c r="F349" s="167"/>
      <c r="G349" s="168"/>
      <c r="H349" s="167"/>
      <c r="I349" s="41"/>
      <c r="J349" s="169"/>
      <c r="K349" s="48"/>
      <c r="L349" s="93"/>
      <c r="M349" s="94"/>
    </row>
    <row r="350" ht="40.5" customHeight="1">
      <c r="A350" s="27"/>
      <c r="B350" s="29"/>
      <c r="C350" s="166"/>
      <c r="D350" s="93"/>
      <c r="E350" s="166"/>
      <c r="F350" s="167"/>
      <c r="G350" s="168"/>
      <c r="H350" s="167"/>
      <c r="I350" s="41"/>
      <c r="J350" s="169"/>
      <c r="K350" s="48"/>
      <c r="L350" s="93"/>
      <c r="M350" s="94"/>
    </row>
    <row r="351" ht="40.5" customHeight="1">
      <c r="A351" s="27"/>
      <c r="B351" s="29"/>
      <c r="C351" s="166"/>
      <c r="D351" s="93"/>
      <c r="E351" s="166"/>
      <c r="F351" s="167"/>
      <c r="G351" s="168"/>
      <c r="H351" s="167"/>
      <c r="I351" s="41"/>
      <c r="J351" s="169"/>
      <c r="K351" s="48"/>
      <c r="L351" s="93"/>
      <c r="M351" s="94"/>
    </row>
    <row r="352" ht="40.5" customHeight="1">
      <c r="A352" s="27"/>
      <c r="B352" s="29"/>
      <c r="C352" s="166"/>
      <c r="D352" s="93"/>
      <c r="E352" s="166"/>
      <c r="F352" s="167"/>
      <c r="G352" s="168"/>
      <c r="H352" s="167"/>
      <c r="I352" s="41"/>
      <c r="J352" s="169"/>
      <c r="K352" s="48"/>
      <c r="L352" s="93"/>
      <c r="M352" s="94"/>
    </row>
    <row r="353" ht="40.5" customHeight="1">
      <c r="A353" s="27"/>
      <c r="B353" s="29"/>
      <c r="C353" s="166"/>
      <c r="D353" s="93"/>
      <c r="E353" s="166"/>
      <c r="F353" s="167"/>
      <c r="G353" s="168"/>
      <c r="H353" s="167"/>
      <c r="I353" s="41"/>
      <c r="J353" s="169"/>
      <c r="K353" s="48"/>
      <c r="L353" s="93"/>
      <c r="M353" s="94"/>
    </row>
    <row r="354" ht="40.5" customHeight="1">
      <c r="A354" s="27"/>
      <c r="B354" s="29"/>
      <c r="C354" s="166"/>
      <c r="D354" s="93"/>
      <c r="E354" s="166"/>
      <c r="F354" s="167"/>
      <c r="G354" s="168"/>
      <c r="H354" s="167"/>
      <c r="I354" s="41"/>
      <c r="J354" s="169"/>
      <c r="K354" s="48"/>
      <c r="L354" s="93"/>
      <c r="M354" s="94"/>
    </row>
    <row r="355" ht="40.5" customHeight="1">
      <c r="A355" s="27"/>
      <c r="B355" s="29"/>
      <c r="C355" s="166"/>
      <c r="D355" s="93"/>
      <c r="E355" s="166"/>
      <c r="F355" s="167"/>
      <c r="G355" s="168"/>
      <c r="H355" s="167"/>
      <c r="I355" s="41"/>
      <c r="J355" s="169"/>
      <c r="K355" s="48"/>
      <c r="L355" s="93"/>
      <c r="M355" s="94"/>
    </row>
    <row r="356" ht="40.5" customHeight="1">
      <c r="A356" s="27"/>
      <c r="B356" s="29"/>
      <c r="C356" s="166"/>
      <c r="D356" s="93"/>
      <c r="E356" s="166"/>
      <c r="F356" s="167"/>
      <c r="G356" s="168"/>
      <c r="H356" s="167"/>
      <c r="I356" s="41"/>
      <c r="J356" s="169"/>
      <c r="K356" s="48"/>
      <c r="L356" s="93"/>
      <c r="M356" s="94"/>
    </row>
    <row r="357" ht="40.5" customHeight="1">
      <c r="A357" s="27"/>
      <c r="B357" s="29"/>
      <c r="C357" s="166"/>
      <c r="D357" s="93"/>
      <c r="E357" s="166"/>
      <c r="F357" s="167"/>
      <c r="G357" s="168"/>
      <c r="H357" s="167"/>
      <c r="I357" s="41"/>
      <c r="J357" s="169"/>
      <c r="K357" s="48"/>
      <c r="L357" s="93"/>
      <c r="M357" s="94"/>
    </row>
    <row r="358" ht="40.5" customHeight="1">
      <c r="A358" s="27"/>
      <c r="B358" s="29"/>
      <c r="C358" s="166"/>
      <c r="D358" s="93"/>
      <c r="E358" s="166"/>
      <c r="F358" s="167"/>
      <c r="G358" s="168"/>
      <c r="H358" s="167"/>
      <c r="I358" s="41"/>
      <c r="J358" s="169"/>
      <c r="K358" s="48"/>
      <c r="L358" s="93"/>
      <c r="M358" s="94"/>
    </row>
    <row r="359" ht="40.5" customHeight="1">
      <c r="A359" s="27"/>
      <c r="B359" s="29"/>
      <c r="C359" s="166"/>
      <c r="D359" s="93"/>
      <c r="E359" s="166"/>
      <c r="F359" s="167"/>
      <c r="G359" s="168"/>
      <c r="H359" s="167"/>
      <c r="I359" s="41"/>
      <c r="J359" s="169"/>
      <c r="K359" s="48"/>
      <c r="L359" s="93"/>
      <c r="M359" s="94"/>
    </row>
    <row r="360" ht="40.5" customHeight="1">
      <c r="A360" s="27"/>
      <c r="B360" s="29"/>
      <c r="C360" s="166"/>
      <c r="D360" s="93"/>
      <c r="E360" s="166"/>
      <c r="F360" s="167"/>
      <c r="G360" s="168"/>
      <c r="H360" s="167"/>
      <c r="I360" s="41"/>
      <c r="J360" s="169"/>
      <c r="K360" s="48"/>
      <c r="L360" s="93"/>
      <c r="M360" s="94"/>
    </row>
    <row r="361" ht="40.5" customHeight="1">
      <c r="A361" s="27"/>
      <c r="B361" s="29"/>
      <c r="C361" s="166"/>
      <c r="D361" s="93"/>
      <c r="E361" s="166"/>
      <c r="F361" s="167"/>
      <c r="G361" s="168"/>
      <c r="H361" s="167"/>
      <c r="I361" s="41"/>
      <c r="J361" s="169"/>
      <c r="K361" s="48"/>
      <c r="L361" s="93"/>
      <c r="M361" s="94"/>
    </row>
    <row r="362" ht="40.5" customHeight="1">
      <c r="A362" s="27"/>
      <c r="B362" s="29"/>
      <c r="C362" s="166"/>
      <c r="D362" s="93"/>
      <c r="E362" s="166"/>
      <c r="F362" s="167"/>
      <c r="G362" s="168"/>
      <c r="H362" s="167"/>
      <c r="I362" s="41"/>
      <c r="J362" s="169"/>
      <c r="K362" s="48"/>
      <c r="L362" s="93"/>
      <c r="M362" s="94"/>
    </row>
    <row r="363" ht="40.5" customHeight="1">
      <c r="A363" s="27"/>
      <c r="B363" s="29"/>
      <c r="C363" s="166"/>
      <c r="D363" s="93"/>
      <c r="E363" s="166"/>
      <c r="F363" s="167"/>
      <c r="G363" s="168"/>
      <c r="H363" s="167"/>
      <c r="I363" s="41"/>
      <c r="J363" s="169"/>
      <c r="K363" s="48"/>
      <c r="L363" s="93"/>
      <c r="M363" s="94"/>
    </row>
    <row r="364" ht="40.5" customHeight="1">
      <c r="A364" s="27"/>
      <c r="B364" s="29"/>
      <c r="C364" s="166"/>
      <c r="D364" s="93"/>
      <c r="E364" s="166"/>
      <c r="F364" s="167"/>
      <c r="G364" s="168"/>
      <c r="H364" s="167"/>
      <c r="I364" s="41"/>
      <c r="J364" s="169"/>
      <c r="K364" s="48"/>
      <c r="L364" s="93"/>
      <c r="M364" s="94"/>
    </row>
    <row r="365" ht="40.5" customHeight="1">
      <c r="A365" s="27"/>
      <c r="B365" s="29"/>
      <c r="C365" s="166"/>
      <c r="D365" s="93"/>
      <c r="E365" s="166"/>
      <c r="F365" s="167"/>
      <c r="G365" s="168"/>
      <c r="H365" s="167"/>
      <c r="I365" s="41"/>
      <c r="J365" s="169"/>
      <c r="K365" s="48"/>
      <c r="L365" s="93"/>
      <c r="M365" s="94"/>
    </row>
    <row r="366" ht="40.5" customHeight="1">
      <c r="A366" s="27"/>
      <c r="B366" s="29"/>
      <c r="C366" s="166"/>
      <c r="D366" s="93"/>
      <c r="E366" s="166"/>
      <c r="F366" s="167"/>
      <c r="G366" s="168"/>
      <c r="H366" s="167"/>
      <c r="I366" s="41"/>
      <c r="J366" s="169"/>
      <c r="K366" s="48"/>
      <c r="L366" s="93"/>
      <c r="M366" s="94"/>
    </row>
    <row r="367" ht="40.5" customHeight="1">
      <c r="A367" s="27"/>
      <c r="B367" s="29"/>
      <c r="C367" s="166"/>
      <c r="D367" s="93"/>
      <c r="E367" s="166"/>
      <c r="F367" s="167"/>
      <c r="G367" s="168"/>
      <c r="H367" s="167"/>
      <c r="I367" s="41"/>
      <c r="J367" s="169"/>
      <c r="K367" s="48"/>
      <c r="L367" s="93"/>
      <c r="M367" s="94"/>
    </row>
    <row r="368" ht="40.5" customHeight="1">
      <c r="A368" s="27"/>
      <c r="B368" s="29"/>
      <c r="C368" s="166"/>
      <c r="D368" s="93"/>
      <c r="E368" s="166"/>
      <c r="F368" s="167"/>
      <c r="G368" s="168"/>
      <c r="H368" s="167"/>
      <c r="I368" s="41"/>
      <c r="J368" s="169"/>
      <c r="K368" s="48"/>
      <c r="L368" s="93"/>
      <c r="M368" s="94"/>
    </row>
    <row r="369" ht="40.5" customHeight="1">
      <c r="A369" s="27"/>
      <c r="B369" s="29"/>
      <c r="C369" s="166"/>
      <c r="D369" s="93"/>
      <c r="E369" s="166"/>
      <c r="F369" s="167"/>
      <c r="G369" s="168"/>
      <c r="H369" s="167"/>
      <c r="I369" s="41"/>
      <c r="J369" s="169"/>
      <c r="K369" s="48"/>
      <c r="L369" s="93"/>
      <c r="M369" s="94"/>
    </row>
    <row r="370" ht="40.5" customHeight="1">
      <c r="A370" s="27"/>
      <c r="B370" s="29"/>
      <c r="C370" s="166"/>
      <c r="D370" s="93"/>
      <c r="E370" s="166"/>
      <c r="F370" s="167"/>
      <c r="G370" s="168"/>
      <c r="H370" s="167"/>
      <c r="I370" s="41"/>
      <c r="J370" s="169"/>
      <c r="K370" s="48"/>
      <c r="L370" s="93"/>
      <c r="M370" s="94"/>
    </row>
    <row r="371" ht="40.5" customHeight="1">
      <c r="A371" s="27"/>
      <c r="B371" s="29"/>
      <c r="C371" s="166"/>
      <c r="D371" s="93"/>
      <c r="E371" s="166"/>
      <c r="F371" s="167"/>
      <c r="G371" s="168"/>
      <c r="H371" s="167"/>
      <c r="I371" s="41"/>
      <c r="J371" s="169"/>
      <c r="K371" s="48"/>
      <c r="L371" s="93"/>
      <c r="M371" s="94"/>
    </row>
    <row r="372" ht="40.5" customHeight="1">
      <c r="A372" s="27"/>
      <c r="B372" s="29"/>
      <c r="C372" s="166"/>
      <c r="D372" s="93"/>
      <c r="E372" s="166"/>
      <c r="F372" s="167"/>
      <c r="G372" s="168"/>
      <c r="H372" s="167"/>
      <c r="I372" s="41"/>
      <c r="J372" s="169"/>
      <c r="K372" s="48"/>
      <c r="L372" s="93"/>
      <c r="M372" s="94"/>
    </row>
    <row r="373" ht="40.5" customHeight="1">
      <c r="A373" s="27"/>
      <c r="B373" s="29"/>
      <c r="C373" s="166"/>
      <c r="D373" s="93"/>
      <c r="E373" s="166"/>
      <c r="F373" s="167"/>
      <c r="G373" s="168"/>
      <c r="H373" s="167"/>
      <c r="I373" s="41"/>
      <c r="J373" s="169"/>
      <c r="K373" s="48"/>
      <c r="L373" s="93"/>
      <c r="M373" s="94"/>
    </row>
    <row r="374" ht="40.5" customHeight="1">
      <c r="A374" s="27"/>
      <c r="B374" s="29"/>
      <c r="C374" s="166"/>
      <c r="D374" s="93"/>
      <c r="E374" s="166"/>
      <c r="F374" s="167"/>
      <c r="G374" s="168"/>
      <c r="H374" s="167"/>
      <c r="I374" s="41"/>
      <c r="J374" s="169"/>
      <c r="K374" s="48"/>
      <c r="L374" s="93"/>
      <c r="M374" s="94"/>
    </row>
    <row r="375" ht="40.5" customHeight="1">
      <c r="A375" s="27"/>
      <c r="B375" s="29"/>
      <c r="C375" s="166"/>
      <c r="D375" s="93"/>
      <c r="E375" s="166"/>
      <c r="F375" s="167"/>
      <c r="G375" s="168"/>
      <c r="H375" s="167"/>
      <c r="I375" s="41"/>
      <c r="J375" s="169"/>
      <c r="K375" s="48"/>
      <c r="L375" s="93"/>
      <c r="M375" s="94"/>
    </row>
    <row r="376" ht="40.5" customHeight="1">
      <c r="A376" s="27"/>
      <c r="B376" s="29"/>
      <c r="C376" s="166"/>
      <c r="D376" s="93"/>
      <c r="E376" s="166"/>
      <c r="F376" s="167"/>
      <c r="G376" s="168"/>
      <c r="H376" s="167"/>
      <c r="I376" s="41"/>
      <c r="J376" s="169"/>
      <c r="K376" s="48"/>
      <c r="L376" s="93"/>
      <c r="M376" s="94"/>
    </row>
    <row r="377" ht="40.5" customHeight="1">
      <c r="A377" s="27"/>
      <c r="B377" s="29"/>
      <c r="C377" s="166"/>
      <c r="D377" s="93"/>
      <c r="E377" s="166"/>
      <c r="F377" s="167"/>
      <c r="G377" s="168"/>
      <c r="H377" s="167"/>
      <c r="I377" s="41"/>
      <c r="J377" s="169"/>
      <c r="K377" s="48"/>
      <c r="L377" s="93"/>
      <c r="M377" s="94"/>
    </row>
    <row r="378" ht="40.5" customHeight="1">
      <c r="A378" s="27"/>
      <c r="B378" s="29"/>
      <c r="C378" s="166"/>
      <c r="D378" s="93"/>
      <c r="E378" s="166"/>
      <c r="F378" s="167"/>
      <c r="G378" s="168"/>
      <c r="H378" s="167"/>
      <c r="I378" s="41"/>
      <c r="J378" s="169"/>
      <c r="K378" s="48"/>
      <c r="L378" s="93"/>
      <c r="M378" s="94"/>
    </row>
    <row r="379" ht="40.5" customHeight="1">
      <c r="A379" s="27"/>
      <c r="B379" s="29"/>
      <c r="C379" s="166"/>
      <c r="D379" s="93"/>
      <c r="E379" s="166"/>
      <c r="F379" s="167"/>
      <c r="G379" s="168"/>
      <c r="H379" s="167"/>
      <c r="I379" s="41"/>
      <c r="J379" s="169"/>
      <c r="K379" s="48"/>
      <c r="L379" s="93"/>
      <c r="M379" s="94"/>
    </row>
    <row r="380" ht="40.5" customHeight="1">
      <c r="A380" s="27"/>
      <c r="B380" s="29"/>
      <c r="C380" s="166"/>
      <c r="D380" s="93"/>
      <c r="E380" s="166"/>
      <c r="F380" s="167"/>
      <c r="G380" s="168"/>
      <c r="H380" s="167"/>
      <c r="I380" s="41"/>
      <c r="J380" s="169"/>
      <c r="K380" s="48"/>
      <c r="L380" s="93"/>
      <c r="M380" s="94"/>
    </row>
    <row r="381" ht="40.5" customHeight="1">
      <c r="A381" s="27"/>
      <c r="B381" s="29"/>
      <c r="C381" s="166"/>
      <c r="D381" s="93"/>
      <c r="E381" s="166"/>
      <c r="F381" s="167"/>
      <c r="G381" s="168"/>
      <c r="H381" s="167"/>
      <c r="I381" s="41"/>
      <c r="J381" s="169"/>
      <c r="K381" s="48"/>
      <c r="L381" s="93"/>
      <c r="M381" s="94"/>
    </row>
    <row r="382" ht="40.5" customHeight="1">
      <c r="A382" s="27"/>
      <c r="B382" s="29"/>
      <c r="C382" s="166"/>
      <c r="D382" s="93"/>
      <c r="E382" s="166"/>
      <c r="F382" s="167"/>
      <c r="G382" s="168"/>
      <c r="H382" s="167"/>
      <c r="I382" s="41"/>
      <c r="J382" s="169"/>
      <c r="K382" s="48"/>
      <c r="L382" s="93"/>
      <c r="M382" s="94"/>
    </row>
    <row r="383" ht="40.5" customHeight="1">
      <c r="A383" s="27"/>
      <c r="B383" s="29"/>
      <c r="C383" s="166"/>
      <c r="D383" s="93"/>
      <c r="E383" s="166"/>
      <c r="F383" s="167"/>
      <c r="G383" s="168"/>
      <c r="H383" s="167"/>
      <c r="I383" s="41"/>
      <c r="J383" s="169"/>
      <c r="K383" s="48"/>
      <c r="L383" s="93"/>
      <c r="M383" s="94"/>
    </row>
    <row r="384" ht="40.5" customHeight="1">
      <c r="A384" s="27"/>
      <c r="B384" s="29"/>
      <c r="C384" s="166"/>
      <c r="D384" s="93"/>
      <c r="E384" s="166"/>
      <c r="F384" s="167"/>
      <c r="G384" s="168"/>
      <c r="H384" s="167"/>
      <c r="I384" s="41"/>
      <c r="J384" s="169"/>
      <c r="K384" s="48"/>
      <c r="L384" s="93"/>
      <c r="M384" s="94"/>
    </row>
    <row r="385" ht="40.5" customHeight="1">
      <c r="A385" s="27"/>
      <c r="B385" s="29"/>
      <c r="C385" s="166"/>
      <c r="D385" s="93"/>
      <c r="E385" s="166"/>
      <c r="F385" s="167"/>
      <c r="G385" s="168"/>
      <c r="H385" s="167"/>
      <c r="I385" s="41"/>
      <c r="J385" s="169"/>
      <c r="K385" s="48"/>
      <c r="L385" s="93"/>
      <c r="M385" s="94"/>
    </row>
    <row r="386" ht="40.5" customHeight="1">
      <c r="A386" s="27"/>
      <c r="B386" s="29"/>
      <c r="C386" s="166"/>
      <c r="D386" s="93"/>
      <c r="E386" s="166"/>
      <c r="F386" s="167"/>
      <c r="G386" s="168"/>
      <c r="H386" s="167"/>
      <c r="I386" s="41"/>
      <c r="J386" s="169"/>
      <c r="K386" s="48"/>
      <c r="L386" s="93"/>
      <c r="M386" s="94"/>
    </row>
    <row r="387" ht="40.5" customHeight="1">
      <c r="A387" s="27"/>
      <c r="B387" s="29"/>
      <c r="C387" s="166"/>
      <c r="D387" s="93"/>
      <c r="E387" s="166"/>
      <c r="F387" s="167"/>
      <c r="G387" s="168"/>
      <c r="H387" s="167"/>
      <c r="I387" s="41"/>
      <c r="J387" s="169"/>
      <c r="K387" s="48"/>
      <c r="L387" s="93"/>
      <c r="M387" s="94"/>
    </row>
    <row r="388" ht="40.5" customHeight="1">
      <c r="A388" s="27"/>
      <c r="B388" s="29"/>
      <c r="C388" s="166"/>
      <c r="D388" s="93"/>
      <c r="E388" s="166"/>
      <c r="F388" s="167"/>
      <c r="G388" s="168"/>
      <c r="H388" s="167"/>
      <c r="I388" s="41"/>
      <c r="J388" s="169"/>
      <c r="K388" s="48"/>
      <c r="L388" s="93"/>
      <c r="M388" s="94"/>
    </row>
    <row r="389" ht="40.5" customHeight="1">
      <c r="A389" s="27"/>
      <c r="B389" s="29"/>
      <c r="C389" s="166"/>
      <c r="D389" s="93"/>
      <c r="E389" s="166"/>
      <c r="F389" s="167"/>
      <c r="G389" s="168"/>
      <c r="H389" s="167"/>
      <c r="I389" s="41"/>
      <c r="J389" s="169"/>
      <c r="K389" s="48"/>
      <c r="L389" s="93"/>
      <c r="M389" s="94"/>
    </row>
    <row r="390" ht="40.5" customHeight="1">
      <c r="A390" s="27"/>
      <c r="B390" s="29"/>
      <c r="C390" s="166"/>
      <c r="D390" s="93"/>
      <c r="E390" s="166"/>
      <c r="F390" s="167"/>
      <c r="G390" s="168"/>
      <c r="H390" s="167"/>
      <c r="I390" s="41"/>
      <c r="J390" s="169"/>
      <c r="K390" s="48"/>
      <c r="L390" s="93"/>
      <c r="M390" s="94"/>
    </row>
    <row r="391" ht="40.5" customHeight="1">
      <c r="A391" s="27"/>
      <c r="B391" s="29"/>
      <c r="C391" s="166"/>
      <c r="D391" s="93"/>
      <c r="E391" s="166"/>
      <c r="F391" s="167"/>
      <c r="G391" s="168"/>
      <c r="H391" s="167"/>
      <c r="I391" s="41"/>
      <c r="J391" s="169"/>
      <c r="K391" s="48"/>
      <c r="L391" s="93"/>
      <c r="M391" s="94"/>
    </row>
    <row r="392" ht="40.5" customHeight="1">
      <c r="A392" s="27"/>
      <c r="B392" s="29"/>
      <c r="C392" s="166"/>
      <c r="D392" s="93"/>
      <c r="E392" s="166"/>
      <c r="F392" s="167"/>
      <c r="G392" s="168"/>
      <c r="H392" s="167"/>
      <c r="I392" s="41"/>
      <c r="J392" s="169"/>
      <c r="K392" s="48"/>
      <c r="L392" s="93"/>
      <c r="M392" s="94"/>
    </row>
    <row r="393" ht="40.5" customHeight="1">
      <c r="A393" s="27"/>
      <c r="B393" s="29"/>
      <c r="C393" s="166"/>
      <c r="D393" s="93"/>
      <c r="E393" s="166"/>
      <c r="F393" s="167"/>
      <c r="G393" s="168"/>
      <c r="H393" s="167"/>
      <c r="I393" s="41"/>
      <c r="J393" s="169"/>
      <c r="K393" s="48"/>
      <c r="L393" s="93"/>
      <c r="M393" s="94"/>
    </row>
    <row r="394" ht="40.5" customHeight="1">
      <c r="A394" s="27"/>
      <c r="B394" s="29"/>
      <c r="C394" s="166"/>
      <c r="D394" s="93"/>
      <c r="E394" s="166"/>
      <c r="F394" s="167"/>
      <c r="G394" s="168"/>
      <c r="H394" s="167"/>
      <c r="I394" s="41"/>
      <c r="J394" s="169"/>
      <c r="K394" s="48"/>
      <c r="L394" s="93"/>
      <c r="M394" s="94"/>
    </row>
    <row r="395" ht="40.5" customHeight="1">
      <c r="A395" s="27"/>
      <c r="B395" s="29"/>
      <c r="C395" s="166"/>
      <c r="D395" s="93"/>
      <c r="E395" s="166"/>
      <c r="F395" s="167"/>
      <c r="G395" s="168"/>
      <c r="H395" s="167"/>
      <c r="I395" s="41"/>
      <c r="J395" s="169"/>
      <c r="K395" s="48"/>
      <c r="L395" s="93"/>
      <c r="M395" s="94"/>
    </row>
    <row r="396" ht="40.5" customHeight="1">
      <c r="A396" s="27"/>
      <c r="B396" s="29"/>
      <c r="C396" s="166"/>
      <c r="D396" s="93"/>
      <c r="E396" s="166"/>
      <c r="F396" s="167"/>
      <c r="G396" s="168"/>
      <c r="H396" s="167"/>
      <c r="I396" s="41"/>
      <c r="J396" s="169"/>
      <c r="K396" s="48"/>
      <c r="L396" s="93"/>
      <c r="M396" s="94"/>
    </row>
    <row r="397" ht="40.5" customHeight="1">
      <c r="A397" s="27"/>
      <c r="B397" s="29"/>
      <c r="C397" s="166"/>
      <c r="D397" s="93"/>
      <c r="E397" s="166"/>
      <c r="F397" s="167"/>
      <c r="G397" s="168"/>
      <c r="H397" s="167"/>
      <c r="I397" s="41"/>
      <c r="J397" s="169"/>
      <c r="K397" s="48"/>
      <c r="L397" s="93"/>
      <c r="M397" s="94"/>
    </row>
    <row r="398" ht="40.5" customHeight="1">
      <c r="A398" s="27"/>
      <c r="B398" s="29"/>
      <c r="C398" s="166"/>
      <c r="D398" s="93"/>
      <c r="E398" s="166"/>
      <c r="F398" s="167"/>
      <c r="G398" s="168"/>
      <c r="H398" s="167"/>
      <c r="I398" s="41"/>
      <c r="J398" s="169"/>
      <c r="K398" s="48"/>
      <c r="L398" s="93"/>
      <c r="M398" s="94"/>
    </row>
    <row r="399" ht="40.5" customHeight="1">
      <c r="A399" s="27"/>
      <c r="B399" s="29"/>
      <c r="C399" s="166"/>
      <c r="D399" s="93"/>
      <c r="E399" s="166"/>
      <c r="F399" s="167"/>
      <c r="G399" s="168"/>
      <c r="H399" s="167"/>
      <c r="I399" s="41"/>
      <c r="J399" s="169"/>
      <c r="K399" s="48"/>
      <c r="L399" s="93"/>
      <c r="M399" s="94"/>
    </row>
    <row r="400" ht="40.5" customHeight="1">
      <c r="A400" s="27"/>
      <c r="B400" s="29"/>
      <c r="C400" s="166"/>
      <c r="D400" s="93"/>
      <c r="E400" s="166"/>
      <c r="F400" s="167"/>
      <c r="G400" s="168"/>
      <c r="H400" s="167"/>
      <c r="I400" s="41"/>
      <c r="J400" s="169"/>
      <c r="K400" s="48"/>
      <c r="L400" s="93"/>
      <c r="M400" s="94"/>
    </row>
    <row r="401" ht="40.5" customHeight="1">
      <c r="A401" s="27"/>
      <c r="B401" s="29"/>
      <c r="C401" s="166"/>
      <c r="D401" s="93"/>
      <c r="E401" s="166"/>
      <c r="F401" s="167"/>
      <c r="G401" s="168"/>
      <c r="H401" s="167"/>
      <c r="I401" s="41"/>
      <c r="J401" s="169"/>
      <c r="K401" s="48"/>
      <c r="L401" s="93"/>
      <c r="M401" s="94"/>
    </row>
    <row r="402" ht="40.5" customHeight="1">
      <c r="A402" s="27"/>
      <c r="B402" s="29"/>
      <c r="C402" s="166"/>
      <c r="D402" s="93"/>
      <c r="E402" s="166"/>
      <c r="F402" s="167"/>
      <c r="G402" s="168"/>
      <c r="H402" s="167"/>
      <c r="I402" s="41"/>
      <c r="J402" s="169"/>
      <c r="K402" s="48"/>
      <c r="L402" s="93"/>
      <c r="M402" s="94"/>
    </row>
    <row r="403" ht="40.5" customHeight="1">
      <c r="A403" s="27"/>
      <c r="B403" s="29"/>
      <c r="C403" s="166"/>
      <c r="D403" s="93"/>
      <c r="E403" s="166"/>
      <c r="F403" s="167"/>
      <c r="G403" s="168"/>
      <c r="H403" s="167"/>
      <c r="I403" s="41"/>
      <c r="J403" s="169"/>
      <c r="K403" s="48"/>
      <c r="L403" s="93"/>
      <c r="M403" s="94"/>
    </row>
    <row r="404" ht="40.5" customHeight="1">
      <c r="A404" s="27"/>
      <c r="B404" s="29"/>
      <c r="C404" s="166"/>
      <c r="D404" s="93"/>
      <c r="E404" s="166"/>
      <c r="F404" s="167"/>
      <c r="G404" s="168"/>
      <c r="H404" s="167"/>
      <c r="I404" s="41"/>
      <c r="J404" s="169"/>
      <c r="K404" s="48"/>
      <c r="L404" s="93"/>
      <c r="M404" s="94"/>
    </row>
    <row r="405" ht="40.5" customHeight="1">
      <c r="A405" s="27"/>
      <c r="B405" s="29"/>
      <c r="C405" s="166"/>
      <c r="D405" s="93"/>
      <c r="E405" s="166"/>
      <c r="F405" s="167"/>
      <c r="G405" s="168"/>
      <c r="H405" s="167"/>
      <c r="I405" s="41"/>
      <c r="J405" s="169"/>
      <c r="K405" s="48"/>
      <c r="L405" s="93"/>
      <c r="M405" s="94"/>
    </row>
    <row r="406" ht="40.5" customHeight="1">
      <c r="A406" s="27"/>
      <c r="B406" s="29"/>
      <c r="C406" s="166"/>
      <c r="D406" s="93"/>
      <c r="E406" s="166"/>
      <c r="F406" s="167"/>
      <c r="G406" s="168"/>
      <c r="H406" s="167"/>
      <c r="I406" s="41"/>
      <c r="J406" s="169"/>
      <c r="K406" s="48"/>
      <c r="L406" s="93"/>
      <c r="M406" s="94"/>
    </row>
    <row r="407" ht="40.5" customHeight="1">
      <c r="A407" s="27"/>
      <c r="B407" s="29"/>
      <c r="C407" s="166"/>
      <c r="D407" s="93"/>
      <c r="E407" s="166"/>
      <c r="F407" s="167"/>
      <c r="G407" s="168"/>
      <c r="H407" s="167"/>
      <c r="I407" s="41"/>
      <c r="J407" s="169"/>
      <c r="K407" s="48"/>
      <c r="L407" s="93"/>
      <c r="M407" s="94"/>
    </row>
    <row r="408" ht="40.5" customHeight="1">
      <c r="A408" s="27"/>
      <c r="B408" s="29"/>
      <c r="C408" s="166"/>
      <c r="D408" s="93"/>
      <c r="E408" s="166"/>
      <c r="F408" s="167"/>
      <c r="G408" s="168"/>
      <c r="H408" s="167"/>
      <c r="I408" s="41"/>
      <c r="J408" s="169"/>
      <c r="K408" s="48"/>
      <c r="L408" s="93"/>
      <c r="M408" s="94"/>
    </row>
    <row r="409" ht="40.5" customHeight="1">
      <c r="A409" s="27"/>
      <c r="B409" s="29"/>
      <c r="C409" s="166"/>
      <c r="D409" s="93"/>
      <c r="E409" s="166"/>
      <c r="F409" s="167"/>
      <c r="G409" s="168"/>
      <c r="H409" s="167"/>
      <c r="I409" s="41"/>
      <c r="J409" s="169"/>
      <c r="K409" s="48"/>
      <c r="L409" s="93"/>
      <c r="M409" s="94"/>
    </row>
    <row r="410" ht="40.5" customHeight="1">
      <c r="A410" s="27"/>
      <c r="B410" s="29"/>
      <c r="C410" s="166"/>
      <c r="D410" s="93"/>
      <c r="E410" s="166"/>
      <c r="F410" s="167"/>
      <c r="G410" s="168"/>
      <c r="H410" s="167"/>
      <c r="I410" s="41"/>
      <c r="J410" s="169"/>
      <c r="K410" s="48"/>
      <c r="L410" s="93"/>
      <c r="M410" s="94"/>
    </row>
    <row r="411" ht="40.5" customHeight="1">
      <c r="A411" s="27"/>
      <c r="B411" s="29"/>
      <c r="C411" s="166"/>
      <c r="D411" s="93"/>
      <c r="E411" s="166"/>
      <c r="F411" s="167"/>
      <c r="G411" s="168"/>
      <c r="H411" s="167"/>
      <c r="I411" s="41"/>
      <c r="J411" s="169"/>
      <c r="K411" s="48"/>
      <c r="L411" s="93"/>
      <c r="M411" s="94"/>
    </row>
    <row r="412" ht="40.5" customHeight="1">
      <c r="A412" s="27"/>
      <c r="B412" s="29"/>
      <c r="C412" s="166"/>
      <c r="D412" s="93"/>
      <c r="E412" s="166"/>
      <c r="F412" s="167"/>
      <c r="G412" s="168"/>
      <c r="H412" s="167"/>
      <c r="I412" s="41"/>
      <c r="J412" s="169"/>
      <c r="K412" s="48"/>
      <c r="L412" s="93"/>
      <c r="M412" s="94"/>
    </row>
    <row r="413" ht="40.5" customHeight="1">
      <c r="A413" s="27"/>
      <c r="B413" s="29"/>
      <c r="C413" s="166"/>
      <c r="D413" s="93"/>
      <c r="E413" s="166"/>
      <c r="F413" s="167"/>
      <c r="G413" s="168"/>
      <c r="H413" s="167"/>
      <c r="I413" s="41"/>
      <c r="J413" s="169"/>
      <c r="K413" s="48"/>
      <c r="L413" s="93"/>
      <c r="M413" s="94"/>
    </row>
    <row r="414" ht="40.5" customHeight="1">
      <c r="A414" s="27"/>
      <c r="B414" s="29"/>
      <c r="C414" s="166"/>
      <c r="D414" s="93"/>
      <c r="E414" s="166"/>
      <c r="F414" s="167"/>
      <c r="G414" s="168"/>
      <c r="H414" s="167"/>
      <c r="I414" s="41"/>
      <c r="J414" s="169"/>
      <c r="K414" s="48"/>
      <c r="L414" s="93"/>
      <c r="M414" s="94"/>
    </row>
    <row r="415" ht="40.5" customHeight="1">
      <c r="A415" s="27"/>
      <c r="B415" s="29"/>
      <c r="C415" s="166"/>
      <c r="D415" s="93"/>
      <c r="E415" s="166"/>
      <c r="F415" s="167"/>
      <c r="G415" s="168"/>
      <c r="H415" s="167"/>
      <c r="I415" s="41"/>
      <c r="J415" s="169"/>
      <c r="K415" s="48"/>
      <c r="L415" s="93"/>
      <c r="M415" s="94"/>
    </row>
    <row r="416" ht="40.5" customHeight="1">
      <c r="A416" s="27"/>
      <c r="B416" s="29"/>
      <c r="C416" s="166"/>
      <c r="D416" s="93"/>
      <c r="E416" s="166"/>
      <c r="F416" s="167"/>
      <c r="G416" s="168"/>
      <c r="H416" s="167"/>
      <c r="I416" s="41"/>
      <c r="J416" s="169"/>
      <c r="K416" s="48"/>
      <c r="L416" s="93"/>
      <c r="M416" s="94"/>
    </row>
    <row r="417" ht="40.5" customHeight="1">
      <c r="A417" s="27"/>
      <c r="B417" s="29"/>
      <c r="C417" s="166"/>
      <c r="D417" s="93"/>
      <c r="E417" s="166"/>
      <c r="F417" s="167"/>
      <c r="G417" s="168"/>
      <c r="H417" s="167"/>
      <c r="I417" s="41"/>
      <c r="J417" s="169"/>
      <c r="K417" s="48"/>
      <c r="L417" s="93"/>
      <c r="M417" s="94"/>
    </row>
    <row r="418" ht="40.5" customHeight="1">
      <c r="A418" s="27"/>
      <c r="B418" s="29"/>
      <c r="C418" s="166"/>
      <c r="D418" s="93"/>
      <c r="E418" s="166"/>
      <c r="F418" s="167"/>
      <c r="G418" s="168"/>
      <c r="H418" s="167"/>
      <c r="I418" s="41"/>
      <c r="J418" s="169"/>
      <c r="K418" s="48"/>
      <c r="L418" s="93"/>
      <c r="M418" s="94"/>
    </row>
    <row r="419" ht="40.5" customHeight="1">
      <c r="A419" s="27"/>
      <c r="B419" s="29"/>
      <c r="C419" s="166"/>
      <c r="D419" s="93"/>
      <c r="E419" s="166"/>
      <c r="F419" s="167"/>
      <c r="G419" s="168"/>
      <c r="H419" s="167"/>
      <c r="I419" s="41"/>
      <c r="J419" s="169"/>
      <c r="K419" s="48"/>
      <c r="L419" s="93"/>
      <c r="M419" s="94"/>
    </row>
    <row r="420" ht="40.5" customHeight="1">
      <c r="A420" s="27"/>
      <c r="B420" s="29"/>
      <c r="C420" s="166"/>
      <c r="D420" s="93"/>
      <c r="E420" s="166"/>
      <c r="F420" s="167"/>
      <c r="G420" s="168"/>
      <c r="H420" s="167"/>
      <c r="I420" s="41"/>
      <c r="J420" s="169"/>
      <c r="K420" s="48"/>
      <c r="L420" s="93"/>
      <c r="M420" s="94"/>
    </row>
    <row r="421" ht="40.5" customHeight="1">
      <c r="A421" s="27"/>
      <c r="B421" s="29"/>
      <c r="C421" s="166"/>
      <c r="D421" s="93"/>
      <c r="E421" s="166"/>
      <c r="F421" s="167"/>
      <c r="G421" s="168"/>
      <c r="H421" s="167"/>
      <c r="I421" s="41"/>
      <c r="J421" s="169"/>
      <c r="K421" s="48"/>
      <c r="L421" s="93"/>
      <c r="M421" s="94"/>
    </row>
    <row r="422" ht="40.5" customHeight="1">
      <c r="A422" s="27"/>
      <c r="B422" s="29"/>
      <c r="C422" s="166"/>
      <c r="D422" s="93"/>
      <c r="E422" s="166"/>
      <c r="F422" s="167"/>
      <c r="G422" s="168"/>
      <c r="H422" s="167"/>
      <c r="I422" s="41"/>
      <c r="J422" s="169"/>
      <c r="K422" s="48"/>
      <c r="L422" s="93"/>
      <c r="M422" s="94"/>
    </row>
    <row r="423" ht="40.5" customHeight="1">
      <c r="A423" s="27"/>
      <c r="B423" s="29"/>
      <c r="C423" s="166"/>
      <c r="D423" s="93"/>
      <c r="E423" s="166"/>
      <c r="F423" s="167"/>
      <c r="G423" s="168"/>
      <c r="H423" s="167"/>
      <c r="I423" s="41"/>
      <c r="J423" s="169"/>
      <c r="K423" s="48"/>
      <c r="L423" s="93"/>
      <c r="M423" s="94"/>
    </row>
    <row r="424" ht="40.5" customHeight="1">
      <c r="A424" s="27"/>
      <c r="B424" s="29"/>
      <c r="C424" s="166"/>
      <c r="D424" s="93"/>
      <c r="E424" s="166"/>
      <c r="F424" s="167"/>
      <c r="G424" s="168"/>
      <c r="H424" s="167"/>
      <c r="I424" s="41"/>
      <c r="J424" s="169"/>
      <c r="K424" s="48"/>
      <c r="L424" s="93"/>
      <c r="M424" s="94"/>
    </row>
    <row r="425" ht="40.5" customHeight="1">
      <c r="A425" s="27"/>
      <c r="B425" s="29"/>
      <c r="C425" s="166"/>
      <c r="D425" s="93"/>
      <c r="E425" s="166"/>
      <c r="F425" s="167"/>
      <c r="G425" s="168"/>
      <c r="H425" s="167"/>
      <c r="I425" s="41"/>
      <c r="J425" s="169"/>
      <c r="K425" s="48"/>
      <c r="L425" s="93"/>
      <c r="M425" s="94"/>
    </row>
    <row r="426" ht="40.5" customHeight="1">
      <c r="A426" s="27"/>
      <c r="B426" s="29"/>
      <c r="C426" s="166"/>
      <c r="D426" s="93"/>
      <c r="E426" s="166"/>
      <c r="F426" s="167"/>
      <c r="G426" s="168"/>
      <c r="H426" s="167"/>
      <c r="I426" s="41"/>
      <c r="J426" s="169"/>
      <c r="K426" s="48"/>
      <c r="L426" s="93"/>
      <c r="M426" s="94"/>
    </row>
    <row r="427" ht="40.5" customHeight="1">
      <c r="A427" s="27"/>
      <c r="B427" s="29"/>
      <c r="C427" s="166"/>
      <c r="D427" s="93"/>
      <c r="E427" s="166"/>
      <c r="F427" s="167"/>
      <c r="G427" s="168"/>
      <c r="H427" s="167"/>
      <c r="I427" s="41"/>
      <c r="J427" s="169"/>
      <c r="K427" s="48"/>
      <c r="L427" s="93"/>
      <c r="M427" s="94"/>
    </row>
    <row r="428" ht="40.5" customHeight="1">
      <c r="A428" s="27"/>
      <c r="B428" s="29"/>
      <c r="C428" s="166"/>
      <c r="D428" s="93"/>
      <c r="E428" s="166"/>
      <c r="F428" s="167"/>
      <c r="G428" s="168"/>
      <c r="H428" s="167"/>
      <c r="I428" s="41"/>
      <c r="J428" s="169"/>
      <c r="K428" s="48"/>
      <c r="L428" s="93"/>
      <c r="M428" s="94"/>
    </row>
    <row r="429" ht="40.5" customHeight="1">
      <c r="A429" s="27"/>
      <c r="B429" s="29"/>
      <c r="C429" s="166"/>
      <c r="D429" s="93"/>
      <c r="E429" s="166"/>
      <c r="F429" s="167"/>
      <c r="G429" s="168"/>
      <c r="H429" s="167"/>
      <c r="I429" s="41"/>
      <c r="J429" s="169"/>
      <c r="K429" s="48"/>
      <c r="L429" s="93"/>
      <c r="M429" s="94"/>
    </row>
    <row r="430" ht="40.5" customHeight="1">
      <c r="A430" s="27"/>
      <c r="B430" s="29"/>
      <c r="C430" s="166"/>
      <c r="D430" s="93"/>
      <c r="E430" s="166"/>
      <c r="F430" s="167"/>
      <c r="G430" s="168"/>
      <c r="H430" s="167"/>
      <c r="I430" s="41"/>
      <c r="J430" s="169"/>
      <c r="K430" s="48"/>
      <c r="L430" s="93"/>
      <c r="M430" s="94"/>
    </row>
    <row r="431" ht="40.5" customHeight="1">
      <c r="A431" s="27"/>
      <c r="B431" s="29"/>
      <c r="C431" s="166"/>
      <c r="D431" s="93"/>
      <c r="E431" s="166"/>
      <c r="F431" s="167"/>
      <c r="G431" s="168"/>
      <c r="H431" s="167"/>
      <c r="I431" s="41"/>
      <c r="J431" s="169"/>
      <c r="K431" s="48"/>
      <c r="L431" s="93"/>
      <c r="M431" s="94"/>
    </row>
    <row r="432" ht="40.5" customHeight="1">
      <c r="A432" s="27"/>
      <c r="B432" s="29"/>
      <c r="C432" s="166"/>
      <c r="D432" s="93"/>
      <c r="E432" s="166"/>
      <c r="F432" s="167"/>
      <c r="G432" s="168"/>
      <c r="H432" s="167"/>
      <c r="I432" s="41"/>
      <c r="J432" s="169"/>
      <c r="K432" s="48"/>
      <c r="L432" s="93"/>
      <c r="M432" s="94"/>
    </row>
    <row r="433" ht="40.5" customHeight="1">
      <c r="A433" s="27"/>
      <c r="B433" s="29"/>
      <c r="C433" s="166"/>
      <c r="D433" s="93"/>
      <c r="E433" s="166"/>
      <c r="F433" s="167"/>
      <c r="G433" s="168"/>
      <c r="H433" s="167"/>
      <c r="I433" s="41"/>
      <c r="J433" s="169"/>
      <c r="K433" s="48"/>
      <c r="L433" s="93"/>
      <c r="M433" s="94"/>
    </row>
    <row r="434" ht="40.5" customHeight="1">
      <c r="A434" s="27"/>
      <c r="B434" s="29"/>
      <c r="C434" s="166"/>
      <c r="D434" s="93"/>
      <c r="E434" s="166"/>
      <c r="F434" s="167"/>
      <c r="G434" s="168"/>
      <c r="H434" s="167"/>
      <c r="I434" s="41"/>
      <c r="J434" s="169"/>
      <c r="K434" s="48"/>
      <c r="L434" s="93"/>
      <c r="M434" s="94"/>
    </row>
    <row r="435" ht="40.5" customHeight="1">
      <c r="A435" s="27"/>
      <c r="B435" s="29"/>
      <c r="C435" s="166"/>
      <c r="D435" s="93"/>
      <c r="E435" s="166"/>
      <c r="F435" s="167"/>
      <c r="G435" s="168"/>
      <c r="H435" s="167"/>
      <c r="I435" s="41"/>
      <c r="J435" s="169"/>
      <c r="K435" s="48"/>
      <c r="L435" s="93"/>
      <c r="M435" s="94"/>
    </row>
    <row r="436" ht="40.5" customHeight="1">
      <c r="A436" s="27"/>
      <c r="B436" s="29"/>
      <c r="C436" s="166"/>
      <c r="D436" s="93"/>
      <c r="E436" s="166"/>
      <c r="F436" s="167"/>
      <c r="G436" s="168"/>
      <c r="H436" s="167"/>
      <c r="I436" s="41"/>
      <c r="J436" s="169"/>
      <c r="K436" s="48"/>
      <c r="L436" s="93"/>
      <c r="M436" s="94"/>
    </row>
    <row r="437" ht="40.5" customHeight="1">
      <c r="A437" s="27"/>
      <c r="B437" s="29"/>
      <c r="C437" s="166"/>
      <c r="D437" s="93"/>
      <c r="E437" s="166"/>
      <c r="F437" s="167"/>
      <c r="G437" s="168"/>
      <c r="H437" s="167"/>
      <c r="I437" s="41"/>
      <c r="J437" s="169"/>
      <c r="K437" s="48"/>
      <c r="L437" s="93"/>
      <c r="M437" s="94"/>
    </row>
    <row r="438" ht="40.5" customHeight="1">
      <c r="A438" s="27"/>
      <c r="B438" s="29"/>
      <c r="C438" s="166"/>
      <c r="D438" s="93"/>
      <c r="E438" s="166"/>
      <c r="F438" s="167"/>
      <c r="G438" s="168"/>
      <c r="H438" s="167"/>
      <c r="I438" s="41"/>
      <c r="J438" s="169"/>
      <c r="K438" s="48"/>
      <c r="L438" s="93"/>
      <c r="M438" s="94"/>
    </row>
    <row r="439" ht="40.5" customHeight="1">
      <c r="A439" s="27"/>
      <c r="B439" s="29"/>
      <c r="C439" s="166"/>
      <c r="D439" s="93"/>
      <c r="E439" s="166"/>
      <c r="F439" s="167"/>
      <c r="G439" s="168"/>
      <c r="H439" s="167"/>
      <c r="I439" s="41"/>
      <c r="J439" s="169"/>
      <c r="K439" s="48"/>
      <c r="L439" s="93"/>
      <c r="M439" s="94"/>
    </row>
    <row r="440" ht="40.5" customHeight="1">
      <c r="A440" s="27"/>
      <c r="B440" s="29"/>
      <c r="C440" s="166"/>
      <c r="D440" s="93"/>
      <c r="E440" s="166"/>
      <c r="F440" s="167"/>
      <c r="G440" s="168"/>
      <c r="H440" s="167"/>
      <c r="I440" s="41"/>
      <c r="J440" s="169"/>
      <c r="K440" s="48"/>
      <c r="L440" s="93"/>
      <c r="M440" s="94"/>
    </row>
    <row r="441" ht="40.5" customHeight="1">
      <c r="A441" s="27"/>
      <c r="B441" s="29"/>
      <c r="C441" s="166"/>
      <c r="D441" s="93"/>
      <c r="E441" s="166"/>
      <c r="F441" s="167"/>
      <c r="G441" s="168"/>
      <c r="H441" s="167"/>
      <c r="I441" s="41"/>
      <c r="J441" s="169"/>
      <c r="K441" s="48"/>
      <c r="L441" s="93"/>
      <c r="M441" s="94"/>
    </row>
    <row r="442" ht="40.5" customHeight="1">
      <c r="A442" s="27"/>
      <c r="B442" s="29"/>
      <c r="C442" s="166"/>
      <c r="D442" s="93"/>
      <c r="E442" s="166"/>
      <c r="F442" s="167"/>
      <c r="G442" s="168"/>
      <c r="H442" s="167"/>
      <c r="I442" s="41"/>
      <c r="J442" s="169"/>
      <c r="K442" s="48"/>
      <c r="L442" s="93"/>
      <c r="M442" s="94"/>
    </row>
    <row r="443" ht="40.5" customHeight="1">
      <c r="A443" s="27"/>
      <c r="B443" s="29"/>
      <c r="C443" s="166"/>
      <c r="D443" s="93"/>
      <c r="E443" s="166"/>
      <c r="F443" s="167"/>
      <c r="G443" s="168"/>
      <c r="H443" s="167"/>
      <c r="I443" s="41"/>
      <c r="J443" s="169"/>
      <c r="K443" s="48"/>
      <c r="L443" s="93"/>
      <c r="M443" s="94"/>
    </row>
    <row r="444" ht="40.5" customHeight="1">
      <c r="A444" s="27"/>
      <c r="B444" s="29"/>
      <c r="C444" s="166"/>
      <c r="D444" s="93"/>
      <c r="E444" s="166"/>
      <c r="F444" s="167"/>
      <c r="G444" s="168"/>
      <c r="H444" s="167"/>
      <c r="I444" s="41"/>
      <c r="J444" s="169"/>
      <c r="K444" s="48"/>
      <c r="L444" s="93"/>
      <c r="M444" s="94"/>
    </row>
    <row r="445" ht="40.5" customHeight="1">
      <c r="A445" s="27"/>
      <c r="B445" s="29"/>
      <c r="C445" s="166"/>
      <c r="D445" s="93"/>
      <c r="E445" s="166"/>
      <c r="F445" s="167"/>
      <c r="G445" s="168"/>
      <c r="H445" s="167"/>
      <c r="I445" s="41"/>
      <c r="J445" s="169"/>
      <c r="K445" s="48"/>
      <c r="L445" s="93"/>
      <c r="M445" s="94"/>
    </row>
    <row r="446" ht="40.5" customHeight="1">
      <c r="A446" s="27"/>
      <c r="B446" s="29"/>
      <c r="C446" s="166"/>
      <c r="D446" s="93"/>
      <c r="E446" s="166"/>
      <c r="F446" s="167"/>
      <c r="G446" s="168"/>
      <c r="H446" s="167"/>
      <c r="I446" s="41"/>
      <c r="J446" s="169"/>
      <c r="K446" s="48"/>
      <c r="L446" s="93"/>
      <c r="M446" s="94"/>
    </row>
    <row r="447" ht="40.5" customHeight="1">
      <c r="A447" s="27"/>
      <c r="B447" s="29"/>
      <c r="C447" s="166"/>
      <c r="D447" s="93"/>
      <c r="E447" s="166"/>
      <c r="F447" s="167"/>
      <c r="G447" s="168"/>
      <c r="H447" s="167"/>
      <c r="I447" s="41"/>
      <c r="J447" s="169"/>
      <c r="K447" s="48"/>
      <c r="L447" s="93"/>
      <c r="M447" s="94"/>
    </row>
    <row r="448" ht="40.5" customHeight="1">
      <c r="A448" s="27"/>
      <c r="B448" s="29"/>
      <c r="C448" s="166"/>
      <c r="D448" s="93"/>
      <c r="E448" s="166"/>
      <c r="F448" s="167"/>
      <c r="G448" s="168"/>
      <c r="H448" s="167"/>
      <c r="I448" s="41"/>
      <c r="J448" s="169"/>
      <c r="K448" s="48"/>
      <c r="L448" s="93"/>
      <c r="M448" s="94"/>
    </row>
    <row r="449" ht="40.5" customHeight="1">
      <c r="A449" s="27"/>
      <c r="B449" s="29"/>
      <c r="C449" s="166"/>
      <c r="D449" s="93"/>
      <c r="E449" s="166"/>
      <c r="F449" s="167"/>
      <c r="G449" s="168"/>
      <c r="H449" s="167"/>
      <c r="I449" s="41"/>
      <c r="J449" s="169"/>
      <c r="K449" s="48"/>
      <c r="L449" s="93"/>
      <c r="M449" s="94"/>
    </row>
    <row r="450" ht="40.5" customHeight="1">
      <c r="A450" s="27"/>
      <c r="B450" s="29"/>
      <c r="C450" s="166"/>
      <c r="D450" s="93"/>
      <c r="E450" s="166"/>
      <c r="F450" s="167"/>
      <c r="G450" s="168"/>
      <c r="H450" s="167"/>
      <c r="I450" s="41"/>
      <c r="J450" s="169"/>
      <c r="K450" s="48"/>
      <c r="L450" s="93"/>
      <c r="M450" s="94"/>
    </row>
    <row r="451" ht="40.5" customHeight="1">
      <c r="A451" s="27"/>
      <c r="B451" s="29"/>
      <c r="C451" s="166"/>
      <c r="D451" s="93"/>
      <c r="E451" s="166"/>
      <c r="F451" s="167"/>
      <c r="G451" s="168"/>
      <c r="H451" s="167"/>
      <c r="I451" s="41"/>
      <c r="J451" s="169"/>
      <c r="K451" s="48"/>
      <c r="L451" s="93"/>
      <c r="M451" s="94"/>
    </row>
    <row r="452" ht="40.5" customHeight="1">
      <c r="A452" s="27"/>
      <c r="B452" s="29"/>
      <c r="C452" s="166"/>
      <c r="D452" s="93"/>
      <c r="E452" s="166"/>
      <c r="F452" s="167"/>
      <c r="G452" s="168"/>
      <c r="H452" s="167"/>
      <c r="I452" s="41"/>
      <c r="J452" s="169"/>
      <c r="K452" s="48"/>
      <c r="L452" s="93"/>
      <c r="M452" s="94"/>
    </row>
    <row r="453" ht="40.5" customHeight="1">
      <c r="A453" s="27"/>
      <c r="B453" s="29"/>
      <c r="C453" s="166"/>
      <c r="D453" s="93"/>
      <c r="E453" s="166"/>
      <c r="F453" s="167"/>
      <c r="G453" s="168"/>
      <c r="H453" s="167"/>
      <c r="I453" s="41"/>
      <c r="J453" s="169"/>
      <c r="K453" s="48"/>
      <c r="L453" s="93"/>
      <c r="M453" s="94"/>
    </row>
    <row r="454" ht="40.5" customHeight="1">
      <c r="A454" s="27"/>
      <c r="B454" s="29"/>
      <c r="C454" s="166"/>
      <c r="D454" s="93"/>
      <c r="E454" s="166"/>
      <c r="F454" s="167"/>
      <c r="G454" s="168"/>
      <c r="H454" s="167"/>
      <c r="I454" s="41"/>
      <c r="J454" s="169"/>
      <c r="K454" s="48"/>
      <c r="L454" s="93"/>
      <c r="M454" s="94"/>
    </row>
    <row r="455" ht="40.5" customHeight="1">
      <c r="A455" s="27"/>
      <c r="B455" s="29"/>
      <c r="C455" s="166"/>
      <c r="D455" s="93"/>
      <c r="E455" s="166"/>
      <c r="F455" s="167"/>
      <c r="G455" s="168"/>
      <c r="H455" s="167"/>
      <c r="I455" s="41"/>
      <c r="J455" s="169"/>
      <c r="K455" s="48"/>
      <c r="L455" s="93"/>
      <c r="M455" s="94"/>
    </row>
    <row r="456" ht="40.5" customHeight="1">
      <c r="A456" s="27"/>
      <c r="B456" s="29"/>
      <c r="C456" s="166"/>
      <c r="D456" s="93"/>
      <c r="E456" s="166"/>
      <c r="F456" s="167"/>
      <c r="G456" s="168"/>
      <c r="H456" s="167"/>
      <c r="I456" s="41"/>
      <c r="J456" s="169"/>
      <c r="K456" s="48"/>
      <c r="L456" s="93"/>
      <c r="M456" s="94"/>
    </row>
    <row r="457" ht="40.5" customHeight="1">
      <c r="A457" s="27"/>
      <c r="B457" s="29"/>
      <c r="C457" s="166"/>
      <c r="D457" s="93"/>
      <c r="E457" s="166"/>
      <c r="F457" s="167"/>
      <c r="G457" s="168"/>
      <c r="H457" s="167"/>
      <c r="I457" s="41"/>
      <c r="J457" s="169"/>
      <c r="K457" s="48"/>
      <c r="L457" s="93"/>
      <c r="M457" s="94"/>
    </row>
    <row r="458" ht="40.5" customHeight="1">
      <c r="A458" s="27"/>
      <c r="B458" s="29"/>
      <c r="C458" s="166"/>
      <c r="D458" s="93"/>
      <c r="E458" s="166"/>
      <c r="F458" s="167"/>
      <c r="G458" s="168"/>
      <c r="H458" s="167"/>
      <c r="I458" s="41"/>
      <c r="J458" s="169"/>
      <c r="K458" s="48"/>
      <c r="L458" s="93"/>
      <c r="M458" s="94"/>
    </row>
    <row r="459" ht="40.5" customHeight="1">
      <c r="A459" s="27"/>
      <c r="B459" s="29"/>
      <c r="C459" s="166"/>
      <c r="D459" s="93"/>
      <c r="E459" s="166"/>
      <c r="F459" s="167"/>
      <c r="G459" s="168"/>
      <c r="H459" s="167"/>
      <c r="I459" s="41"/>
      <c r="J459" s="169"/>
      <c r="K459" s="48"/>
      <c r="L459" s="93"/>
      <c r="M459" s="94"/>
    </row>
    <row r="460" ht="40.5" customHeight="1">
      <c r="A460" s="27"/>
      <c r="B460" s="29"/>
      <c r="C460" s="166"/>
      <c r="D460" s="93"/>
      <c r="E460" s="166"/>
      <c r="F460" s="167"/>
      <c r="G460" s="168"/>
      <c r="H460" s="167"/>
      <c r="I460" s="41"/>
      <c r="J460" s="169"/>
      <c r="K460" s="48"/>
      <c r="L460" s="93"/>
      <c r="M460" s="94"/>
    </row>
    <row r="461" ht="40.5" customHeight="1">
      <c r="A461" s="27"/>
      <c r="B461" s="29"/>
      <c r="C461" s="166"/>
      <c r="D461" s="93"/>
      <c r="E461" s="166"/>
      <c r="F461" s="167"/>
      <c r="G461" s="168"/>
      <c r="H461" s="167"/>
      <c r="I461" s="41"/>
      <c r="J461" s="169"/>
      <c r="K461" s="48"/>
      <c r="L461" s="93"/>
      <c r="M461" s="94"/>
    </row>
    <row r="462" ht="40.5" customHeight="1">
      <c r="A462" s="27"/>
      <c r="B462" s="29"/>
      <c r="C462" s="166"/>
      <c r="D462" s="93"/>
      <c r="E462" s="166"/>
      <c r="F462" s="167"/>
      <c r="G462" s="168"/>
      <c r="H462" s="167"/>
      <c r="I462" s="41"/>
      <c r="J462" s="169"/>
      <c r="K462" s="48"/>
      <c r="L462" s="93"/>
      <c r="M462" s="94"/>
    </row>
    <row r="463" ht="40.5" customHeight="1">
      <c r="A463" s="27"/>
      <c r="B463" s="29"/>
      <c r="C463" s="166"/>
      <c r="D463" s="93"/>
      <c r="E463" s="166"/>
      <c r="F463" s="167"/>
      <c r="G463" s="168"/>
      <c r="H463" s="167"/>
      <c r="I463" s="41"/>
      <c r="J463" s="169"/>
      <c r="K463" s="48"/>
      <c r="L463" s="93"/>
      <c r="M463" s="94"/>
    </row>
    <row r="464" ht="40.5" customHeight="1">
      <c r="A464" s="27"/>
      <c r="B464" s="29"/>
      <c r="C464" s="166"/>
      <c r="D464" s="93"/>
      <c r="E464" s="166"/>
      <c r="F464" s="167"/>
      <c r="G464" s="168"/>
      <c r="H464" s="167"/>
      <c r="I464" s="41"/>
      <c r="J464" s="169"/>
      <c r="K464" s="48"/>
      <c r="L464" s="93"/>
      <c r="M464" s="94"/>
    </row>
    <row r="465" ht="40.5" customHeight="1">
      <c r="A465" s="27"/>
      <c r="B465" s="29"/>
      <c r="C465" s="166"/>
      <c r="D465" s="93"/>
      <c r="E465" s="166"/>
      <c r="F465" s="167"/>
      <c r="G465" s="168"/>
      <c r="H465" s="167"/>
      <c r="I465" s="41"/>
      <c r="J465" s="169"/>
      <c r="K465" s="48"/>
      <c r="L465" s="93"/>
      <c r="M465" s="94"/>
    </row>
    <row r="466" ht="40.5" customHeight="1">
      <c r="A466" s="27"/>
      <c r="B466" s="29"/>
      <c r="C466" s="166"/>
      <c r="D466" s="93"/>
      <c r="E466" s="166"/>
      <c r="F466" s="167"/>
      <c r="G466" s="168"/>
      <c r="H466" s="167"/>
      <c r="I466" s="41"/>
      <c r="J466" s="169"/>
      <c r="K466" s="48"/>
      <c r="L466" s="93"/>
      <c r="M466" s="94"/>
    </row>
    <row r="467" ht="40.5" customHeight="1">
      <c r="A467" s="27"/>
      <c r="B467" s="29"/>
      <c r="C467" s="166"/>
      <c r="D467" s="93"/>
      <c r="E467" s="166"/>
      <c r="F467" s="167"/>
      <c r="G467" s="168"/>
      <c r="H467" s="167"/>
      <c r="I467" s="41"/>
      <c r="J467" s="169"/>
      <c r="K467" s="48"/>
      <c r="L467" s="93"/>
      <c r="M467" s="94"/>
    </row>
    <row r="468" ht="40.5" customHeight="1">
      <c r="A468" s="27"/>
      <c r="B468" s="29"/>
      <c r="C468" s="166"/>
      <c r="D468" s="93"/>
      <c r="E468" s="166"/>
      <c r="F468" s="167"/>
      <c r="G468" s="168"/>
      <c r="H468" s="167"/>
      <c r="I468" s="41"/>
      <c r="J468" s="169"/>
      <c r="K468" s="48"/>
      <c r="L468" s="93"/>
      <c r="M468" s="94"/>
    </row>
    <row r="469" ht="40.5" customHeight="1">
      <c r="A469" s="27"/>
      <c r="B469" s="29"/>
      <c r="C469" s="166"/>
      <c r="D469" s="93"/>
      <c r="E469" s="166"/>
      <c r="F469" s="167"/>
      <c r="G469" s="168"/>
      <c r="H469" s="167"/>
      <c r="I469" s="41"/>
      <c r="J469" s="169"/>
      <c r="K469" s="48"/>
      <c r="L469" s="93"/>
      <c r="M469" s="94"/>
    </row>
    <row r="470" ht="40.5" customHeight="1">
      <c r="A470" s="27"/>
      <c r="B470" s="29"/>
      <c r="C470" s="166"/>
      <c r="D470" s="93"/>
      <c r="E470" s="166"/>
      <c r="F470" s="167"/>
      <c r="G470" s="168"/>
      <c r="H470" s="167"/>
      <c r="I470" s="41"/>
      <c r="J470" s="169"/>
      <c r="K470" s="48"/>
      <c r="L470" s="93"/>
      <c r="M470" s="94"/>
    </row>
    <row r="471" ht="40.5" customHeight="1">
      <c r="A471" s="27"/>
      <c r="B471" s="29"/>
      <c r="C471" s="166"/>
      <c r="D471" s="93"/>
      <c r="E471" s="166"/>
      <c r="F471" s="167"/>
      <c r="G471" s="168"/>
      <c r="H471" s="167"/>
      <c r="I471" s="41"/>
      <c r="J471" s="169"/>
      <c r="K471" s="48"/>
      <c r="L471" s="93"/>
      <c r="M471" s="94"/>
    </row>
    <row r="472" ht="40.5" customHeight="1">
      <c r="A472" s="27"/>
      <c r="B472" s="29"/>
      <c r="C472" s="166"/>
      <c r="D472" s="93"/>
      <c r="E472" s="166"/>
      <c r="F472" s="167"/>
      <c r="G472" s="168"/>
      <c r="H472" s="167"/>
      <c r="I472" s="41"/>
      <c r="J472" s="169"/>
      <c r="K472" s="48"/>
      <c r="L472" s="93"/>
      <c r="M472" s="94"/>
    </row>
    <row r="473" ht="40.5" customHeight="1">
      <c r="A473" s="27"/>
      <c r="B473" s="29"/>
      <c r="C473" s="166"/>
      <c r="D473" s="93"/>
      <c r="E473" s="166"/>
      <c r="F473" s="167"/>
      <c r="G473" s="168"/>
      <c r="H473" s="167"/>
      <c r="I473" s="41"/>
      <c r="J473" s="169"/>
      <c r="K473" s="48"/>
      <c r="L473" s="93"/>
      <c r="M473" s="94"/>
    </row>
    <row r="474" ht="40.5" customHeight="1">
      <c r="A474" s="27"/>
      <c r="B474" s="29"/>
      <c r="C474" s="166"/>
      <c r="D474" s="93"/>
      <c r="E474" s="166"/>
      <c r="F474" s="167"/>
      <c r="G474" s="168"/>
      <c r="H474" s="167"/>
      <c r="I474" s="41"/>
      <c r="J474" s="169"/>
      <c r="K474" s="48"/>
      <c r="L474" s="93"/>
      <c r="M474" s="94"/>
    </row>
    <row r="475" ht="40.5" customHeight="1">
      <c r="A475" s="27"/>
      <c r="B475" s="29"/>
      <c r="C475" s="166"/>
      <c r="D475" s="93"/>
      <c r="E475" s="166"/>
      <c r="F475" s="167"/>
      <c r="G475" s="168"/>
      <c r="H475" s="167"/>
      <c r="I475" s="41"/>
      <c r="J475" s="169"/>
      <c r="K475" s="48"/>
      <c r="L475" s="93"/>
      <c r="M475" s="94"/>
    </row>
    <row r="476" ht="40.5" customHeight="1">
      <c r="A476" s="27"/>
      <c r="B476" s="29"/>
      <c r="C476" s="166"/>
      <c r="D476" s="93"/>
      <c r="E476" s="166"/>
      <c r="F476" s="167"/>
      <c r="G476" s="168"/>
      <c r="H476" s="167"/>
      <c r="I476" s="41"/>
      <c r="J476" s="169"/>
      <c r="K476" s="48"/>
      <c r="L476" s="93"/>
      <c r="M476" s="94"/>
    </row>
    <row r="477" ht="40.5" customHeight="1">
      <c r="A477" s="27"/>
      <c r="B477" s="29"/>
      <c r="C477" s="166"/>
      <c r="D477" s="93"/>
      <c r="E477" s="166"/>
      <c r="F477" s="167"/>
      <c r="G477" s="168"/>
      <c r="H477" s="167"/>
      <c r="I477" s="41"/>
      <c r="J477" s="169"/>
      <c r="K477" s="48"/>
      <c r="L477" s="93"/>
      <c r="M477" s="94"/>
    </row>
    <row r="478" ht="40.5" customHeight="1">
      <c r="A478" s="27"/>
      <c r="B478" s="29"/>
      <c r="C478" s="166"/>
      <c r="D478" s="93"/>
      <c r="E478" s="166"/>
      <c r="F478" s="167"/>
      <c r="G478" s="168"/>
      <c r="H478" s="167"/>
      <c r="I478" s="41"/>
      <c r="J478" s="169"/>
      <c r="K478" s="48"/>
      <c r="L478" s="93"/>
      <c r="M478" s="94"/>
    </row>
    <row r="479" ht="40.5" customHeight="1">
      <c r="A479" s="27"/>
      <c r="B479" s="29"/>
      <c r="C479" s="166"/>
      <c r="D479" s="93"/>
      <c r="E479" s="166"/>
      <c r="F479" s="167"/>
      <c r="G479" s="168"/>
      <c r="H479" s="167"/>
      <c r="I479" s="41"/>
      <c r="J479" s="169"/>
      <c r="K479" s="48"/>
      <c r="L479" s="93"/>
      <c r="M479" s="94"/>
    </row>
    <row r="480" ht="40.5" customHeight="1">
      <c r="A480" s="27"/>
      <c r="B480" s="29"/>
      <c r="C480" s="166"/>
      <c r="D480" s="93"/>
      <c r="E480" s="166"/>
      <c r="F480" s="167"/>
      <c r="G480" s="168"/>
      <c r="H480" s="167"/>
      <c r="I480" s="41"/>
      <c r="J480" s="169"/>
      <c r="K480" s="48"/>
      <c r="L480" s="93"/>
      <c r="M480" s="94"/>
    </row>
    <row r="481" ht="40.5" customHeight="1">
      <c r="A481" s="27"/>
      <c r="B481" s="29"/>
      <c r="C481" s="166"/>
      <c r="D481" s="93"/>
      <c r="E481" s="166"/>
      <c r="F481" s="167"/>
      <c r="G481" s="168"/>
      <c r="H481" s="167"/>
      <c r="I481" s="41"/>
      <c r="J481" s="169"/>
      <c r="K481" s="48"/>
      <c r="L481" s="93"/>
      <c r="M481" s="94"/>
    </row>
    <row r="482" ht="40.5" customHeight="1">
      <c r="A482" s="27"/>
      <c r="B482" s="29"/>
      <c r="C482" s="166"/>
      <c r="D482" s="93"/>
      <c r="E482" s="166"/>
      <c r="F482" s="167"/>
      <c r="G482" s="168"/>
      <c r="H482" s="167"/>
      <c r="I482" s="41"/>
      <c r="J482" s="169"/>
      <c r="K482" s="48"/>
      <c r="L482" s="93"/>
      <c r="M482" s="94"/>
    </row>
    <row r="483" ht="40.5" customHeight="1">
      <c r="A483" s="27"/>
      <c r="B483" s="29"/>
      <c r="C483" s="166"/>
      <c r="D483" s="93"/>
      <c r="E483" s="166"/>
      <c r="F483" s="167"/>
      <c r="G483" s="168"/>
      <c r="H483" s="167"/>
      <c r="I483" s="41"/>
      <c r="J483" s="169"/>
      <c r="K483" s="48"/>
      <c r="L483" s="93"/>
      <c r="M483" s="94"/>
    </row>
    <row r="484" ht="40.5" customHeight="1">
      <c r="A484" s="27"/>
      <c r="B484" s="29"/>
      <c r="C484" s="166"/>
      <c r="D484" s="93"/>
      <c r="E484" s="166"/>
      <c r="F484" s="167"/>
      <c r="G484" s="168"/>
      <c r="H484" s="167"/>
      <c r="I484" s="41"/>
      <c r="J484" s="169"/>
      <c r="K484" s="48"/>
      <c r="L484" s="93"/>
      <c r="M484" s="94"/>
    </row>
    <row r="485" ht="40.5" customHeight="1">
      <c r="A485" s="27"/>
      <c r="B485" s="29"/>
      <c r="C485" s="166"/>
      <c r="D485" s="93"/>
      <c r="E485" s="166"/>
      <c r="F485" s="167"/>
      <c r="G485" s="168"/>
      <c r="H485" s="167"/>
      <c r="I485" s="41"/>
      <c r="J485" s="169"/>
      <c r="K485" s="48"/>
      <c r="L485" s="93"/>
      <c r="M485" s="94"/>
    </row>
    <row r="486" ht="40.5" customHeight="1">
      <c r="A486" s="27"/>
      <c r="B486" s="29"/>
      <c r="C486" s="166"/>
      <c r="D486" s="93"/>
      <c r="E486" s="166"/>
      <c r="F486" s="167"/>
      <c r="G486" s="168"/>
      <c r="H486" s="167"/>
      <c r="I486" s="41"/>
      <c r="J486" s="169"/>
      <c r="K486" s="48"/>
      <c r="L486" s="93"/>
      <c r="M486" s="94"/>
    </row>
    <row r="487" ht="40.5" customHeight="1">
      <c r="A487" s="27"/>
      <c r="B487" s="29"/>
      <c r="C487" s="166"/>
      <c r="D487" s="93"/>
      <c r="E487" s="166"/>
      <c r="F487" s="167"/>
      <c r="G487" s="168"/>
      <c r="H487" s="167"/>
      <c r="I487" s="41"/>
      <c r="J487" s="169"/>
      <c r="K487" s="48"/>
      <c r="L487" s="93"/>
      <c r="M487" s="94"/>
    </row>
    <row r="488" ht="40.5" customHeight="1">
      <c r="A488" s="27"/>
      <c r="B488" s="29"/>
      <c r="C488" s="166"/>
      <c r="D488" s="93"/>
      <c r="E488" s="166"/>
      <c r="F488" s="167"/>
      <c r="G488" s="168"/>
      <c r="H488" s="167"/>
      <c r="I488" s="41"/>
      <c r="J488" s="169"/>
      <c r="K488" s="48"/>
      <c r="L488" s="93"/>
      <c r="M488" s="94"/>
    </row>
    <row r="489" ht="40.5" customHeight="1">
      <c r="A489" s="27"/>
      <c r="B489" s="29"/>
      <c r="C489" s="166"/>
      <c r="D489" s="93"/>
      <c r="E489" s="166"/>
      <c r="F489" s="167"/>
      <c r="G489" s="168"/>
      <c r="H489" s="167"/>
      <c r="I489" s="41"/>
      <c r="J489" s="169"/>
      <c r="K489" s="48"/>
      <c r="L489" s="93"/>
      <c r="M489" s="94"/>
    </row>
    <row r="490" ht="40.5" customHeight="1">
      <c r="A490" s="27"/>
      <c r="B490" s="29"/>
      <c r="C490" s="166"/>
      <c r="D490" s="93"/>
      <c r="E490" s="166"/>
      <c r="F490" s="167"/>
      <c r="G490" s="168"/>
      <c r="H490" s="167"/>
      <c r="I490" s="41"/>
      <c r="J490" s="169"/>
      <c r="K490" s="48"/>
      <c r="L490" s="93"/>
      <c r="M490" s="94"/>
    </row>
    <row r="491" ht="40.5" customHeight="1">
      <c r="A491" s="27"/>
      <c r="B491" s="29"/>
      <c r="C491" s="166"/>
      <c r="D491" s="93"/>
      <c r="E491" s="166"/>
      <c r="F491" s="167"/>
      <c r="G491" s="168"/>
      <c r="H491" s="167"/>
      <c r="I491" s="41"/>
      <c r="J491" s="169"/>
      <c r="K491" s="48"/>
      <c r="L491" s="93"/>
      <c r="M491" s="94"/>
    </row>
    <row r="492" ht="40.5" customHeight="1">
      <c r="A492" s="27"/>
      <c r="B492" s="29"/>
      <c r="C492" s="166"/>
      <c r="D492" s="93"/>
      <c r="E492" s="166"/>
      <c r="F492" s="167"/>
      <c r="G492" s="168"/>
      <c r="H492" s="167"/>
      <c r="I492" s="41"/>
      <c r="J492" s="169"/>
      <c r="K492" s="48"/>
      <c r="L492" s="93"/>
      <c r="M492" s="94"/>
    </row>
    <row r="493" ht="40.5" customHeight="1">
      <c r="A493" s="27"/>
      <c r="B493" s="29"/>
      <c r="C493" s="166"/>
      <c r="D493" s="93"/>
      <c r="E493" s="166"/>
      <c r="F493" s="167"/>
      <c r="G493" s="168"/>
      <c r="H493" s="167"/>
      <c r="I493" s="41"/>
      <c r="J493" s="169"/>
      <c r="K493" s="48"/>
      <c r="L493" s="93"/>
      <c r="M493" s="94"/>
    </row>
    <row r="494" ht="40.5" customHeight="1">
      <c r="A494" s="27"/>
      <c r="B494" s="29"/>
      <c r="C494" s="166"/>
      <c r="D494" s="93"/>
      <c r="E494" s="166"/>
      <c r="F494" s="167"/>
      <c r="G494" s="168"/>
      <c r="H494" s="167"/>
      <c r="I494" s="41"/>
      <c r="J494" s="169"/>
      <c r="K494" s="48"/>
      <c r="L494" s="93"/>
      <c r="M494" s="94"/>
    </row>
    <row r="495" ht="40.5" customHeight="1">
      <c r="A495" s="27"/>
      <c r="B495" s="29"/>
      <c r="C495" s="166"/>
      <c r="D495" s="93"/>
      <c r="E495" s="166"/>
      <c r="F495" s="167"/>
      <c r="G495" s="168"/>
      <c r="H495" s="167"/>
      <c r="I495" s="41"/>
      <c r="J495" s="169"/>
      <c r="K495" s="48"/>
      <c r="L495" s="93"/>
      <c r="M495" s="94"/>
    </row>
    <row r="496" ht="40.5" customHeight="1">
      <c r="A496" s="27"/>
      <c r="B496" s="29"/>
      <c r="C496" s="166"/>
      <c r="D496" s="93"/>
      <c r="E496" s="166"/>
      <c r="F496" s="167"/>
      <c r="G496" s="168"/>
      <c r="H496" s="167"/>
      <c r="I496" s="41"/>
      <c r="J496" s="169"/>
      <c r="K496" s="48"/>
      <c r="L496" s="93"/>
      <c r="M496" s="94"/>
    </row>
    <row r="497" ht="40.5" customHeight="1">
      <c r="A497" s="27"/>
      <c r="B497" s="29"/>
      <c r="C497" s="166"/>
      <c r="D497" s="93"/>
      <c r="E497" s="166"/>
      <c r="F497" s="167"/>
      <c r="G497" s="168"/>
      <c r="H497" s="167"/>
      <c r="I497" s="41"/>
      <c r="J497" s="169"/>
      <c r="K497" s="48"/>
      <c r="L497" s="93"/>
      <c r="M497" s="94"/>
    </row>
    <row r="498" ht="40.5" customHeight="1">
      <c r="A498" s="27"/>
      <c r="B498" s="29"/>
      <c r="C498" s="166"/>
      <c r="D498" s="93"/>
      <c r="E498" s="166"/>
      <c r="F498" s="167"/>
      <c r="G498" s="168"/>
      <c r="H498" s="167"/>
      <c r="I498" s="41"/>
      <c r="J498" s="169"/>
      <c r="K498" s="48"/>
      <c r="L498" s="93"/>
      <c r="M498" s="94"/>
    </row>
    <row r="499" ht="40.5" customHeight="1">
      <c r="A499" s="27"/>
      <c r="B499" s="29"/>
      <c r="C499" s="166"/>
      <c r="D499" s="93"/>
      <c r="E499" s="166"/>
      <c r="F499" s="167"/>
      <c r="G499" s="168"/>
      <c r="H499" s="167"/>
      <c r="I499" s="41"/>
      <c r="J499" s="169"/>
      <c r="K499" s="48"/>
      <c r="L499" s="93"/>
      <c r="M499" s="94"/>
    </row>
    <row r="500" ht="40.5" customHeight="1">
      <c r="A500" s="27"/>
      <c r="B500" s="29"/>
      <c r="C500" s="166"/>
      <c r="D500" s="93"/>
      <c r="E500" s="166"/>
      <c r="F500" s="167"/>
      <c r="G500" s="168"/>
      <c r="H500" s="167"/>
      <c r="I500" s="41"/>
      <c r="J500" s="169"/>
      <c r="K500" s="48"/>
      <c r="L500" s="93"/>
      <c r="M500" s="94"/>
    </row>
    <row r="501" ht="40.5" customHeight="1">
      <c r="A501" s="27"/>
      <c r="B501" s="29"/>
      <c r="C501" s="166"/>
      <c r="D501" s="93"/>
      <c r="E501" s="166"/>
      <c r="F501" s="167"/>
      <c r="G501" s="168"/>
      <c r="H501" s="167"/>
      <c r="I501" s="41"/>
      <c r="J501" s="169"/>
      <c r="K501" s="48"/>
      <c r="L501" s="93"/>
      <c r="M501" s="94"/>
    </row>
    <row r="502" ht="40.5" customHeight="1">
      <c r="A502" s="27"/>
      <c r="B502" s="29"/>
      <c r="C502" s="166"/>
      <c r="D502" s="93"/>
      <c r="E502" s="166"/>
      <c r="F502" s="167"/>
      <c r="G502" s="168"/>
      <c r="H502" s="167"/>
      <c r="I502" s="41"/>
      <c r="J502" s="169"/>
      <c r="K502" s="48"/>
      <c r="L502" s="93"/>
      <c r="M502" s="94"/>
    </row>
    <row r="503" ht="40.5" customHeight="1">
      <c r="A503" s="27"/>
      <c r="B503" s="29"/>
      <c r="C503" s="166"/>
      <c r="D503" s="93"/>
      <c r="E503" s="166"/>
      <c r="F503" s="167"/>
      <c r="G503" s="168"/>
      <c r="H503" s="167"/>
      <c r="I503" s="41"/>
      <c r="J503" s="169"/>
      <c r="K503" s="48"/>
      <c r="L503" s="93"/>
      <c r="M503" s="94"/>
    </row>
    <row r="504" ht="40.5" customHeight="1">
      <c r="A504" s="27"/>
      <c r="B504" s="29"/>
      <c r="C504" s="166"/>
      <c r="D504" s="93"/>
      <c r="E504" s="166"/>
      <c r="F504" s="167"/>
      <c r="G504" s="168"/>
      <c r="H504" s="167"/>
      <c r="I504" s="41"/>
      <c r="J504" s="169"/>
      <c r="K504" s="48"/>
      <c r="L504" s="93"/>
      <c r="M504" s="94"/>
    </row>
    <row r="505" ht="40.5" customHeight="1">
      <c r="A505" s="27"/>
      <c r="B505" s="29"/>
      <c r="C505" s="166"/>
      <c r="D505" s="93"/>
      <c r="E505" s="166"/>
      <c r="F505" s="167"/>
      <c r="G505" s="168"/>
      <c r="H505" s="167"/>
      <c r="I505" s="41"/>
      <c r="J505" s="169"/>
      <c r="K505" s="48"/>
      <c r="L505" s="93"/>
      <c r="M505" s="94"/>
    </row>
    <row r="506" ht="40.5" customHeight="1">
      <c r="A506" s="27"/>
      <c r="B506" s="29"/>
      <c r="C506" s="166"/>
      <c r="D506" s="93"/>
      <c r="E506" s="166"/>
      <c r="F506" s="167"/>
      <c r="G506" s="168"/>
      <c r="H506" s="167"/>
      <c r="I506" s="41"/>
      <c r="J506" s="169"/>
      <c r="K506" s="48"/>
      <c r="L506" s="93"/>
      <c r="M506" s="94"/>
    </row>
    <row r="507" ht="40.5" customHeight="1">
      <c r="A507" s="27"/>
      <c r="B507" s="29"/>
      <c r="C507" s="166"/>
      <c r="D507" s="93"/>
      <c r="E507" s="166"/>
      <c r="F507" s="167"/>
      <c r="G507" s="168"/>
      <c r="H507" s="167"/>
      <c r="I507" s="41"/>
      <c r="J507" s="169"/>
      <c r="K507" s="48"/>
      <c r="L507" s="93"/>
      <c r="M507" s="94"/>
    </row>
    <row r="508" ht="40.5" customHeight="1">
      <c r="A508" s="27"/>
      <c r="B508" s="29"/>
      <c r="C508" s="166"/>
      <c r="D508" s="93"/>
      <c r="E508" s="166"/>
      <c r="F508" s="167"/>
      <c r="G508" s="168"/>
      <c r="H508" s="167"/>
      <c r="I508" s="41"/>
      <c r="J508" s="169"/>
      <c r="K508" s="48"/>
      <c r="L508" s="93"/>
      <c r="M508" s="94"/>
    </row>
    <row r="509" ht="40.5" customHeight="1">
      <c r="A509" s="27"/>
      <c r="B509" s="29"/>
      <c r="C509" s="166"/>
      <c r="D509" s="93"/>
      <c r="E509" s="166"/>
      <c r="F509" s="167"/>
      <c r="G509" s="168"/>
      <c r="H509" s="167"/>
      <c r="I509" s="41"/>
      <c r="J509" s="169"/>
      <c r="K509" s="48"/>
      <c r="L509" s="93"/>
      <c r="M509" s="94"/>
    </row>
    <row r="510" ht="40.5" customHeight="1">
      <c r="A510" s="27"/>
      <c r="B510" s="29"/>
      <c r="C510" s="166"/>
      <c r="D510" s="93"/>
      <c r="E510" s="166"/>
      <c r="F510" s="167"/>
      <c r="G510" s="168"/>
      <c r="H510" s="167"/>
      <c r="I510" s="41"/>
      <c r="J510" s="169"/>
      <c r="K510" s="48"/>
      <c r="L510" s="93"/>
      <c r="M510" s="94"/>
    </row>
    <row r="511" ht="40.5" customHeight="1">
      <c r="A511" s="27"/>
      <c r="B511" s="29"/>
      <c r="C511" s="166"/>
      <c r="D511" s="93"/>
      <c r="E511" s="166"/>
      <c r="F511" s="167"/>
      <c r="G511" s="168"/>
      <c r="H511" s="167"/>
      <c r="I511" s="41"/>
      <c r="J511" s="169"/>
      <c r="K511" s="48"/>
      <c r="L511" s="93"/>
      <c r="M511" s="94"/>
    </row>
    <row r="512" ht="40.5" customHeight="1">
      <c r="A512" s="27"/>
      <c r="B512" s="29"/>
      <c r="C512" s="166"/>
      <c r="D512" s="93"/>
      <c r="E512" s="166"/>
      <c r="F512" s="167"/>
      <c r="G512" s="168"/>
      <c r="H512" s="167"/>
      <c r="I512" s="41"/>
      <c r="J512" s="169"/>
      <c r="K512" s="48"/>
      <c r="L512" s="93"/>
      <c r="M512" s="94"/>
    </row>
    <row r="513" ht="40.5" customHeight="1">
      <c r="A513" s="27"/>
      <c r="B513" s="29"/>
      <c r="C513" s="166"/>
      <c r="D513" s="93"/>
      <c r="E513" s="166"/>
      <c r="F513" s="167"/>
      <c r="G513" s="168"/>
      <c r="H513" s="167"/>
      <c r="I513" s="41"/>
      <c r="J513" s="169"/>
      <c r="K513" s="48"/>
      <c r="L513" s="93"/>
      <c r="M513" s="94"/>
    </row>
    <row r="514" ht="40.5" customHeight="1">
      <c r="A514" s="27"/>
      <c r="B514" s="29"/>
      <c r="C514" s="166"/>
      <c r="D514" s="93"/>
      <c r="E514" s="166"/>
      <c r="F514" s="167"/>
      <c r="G514" s="168"/>
      <c r="H514" s="167"/>
      <c r="I514" s="41"/>
      <c r="J514" s="169"/>
      <c r="K514" s="48"/>
      <c r="L514" s="93"/>
      <c r="M514" s="94"/>
    </row>
    <row r="515" ht="40.5" customHeight="1">
      <c r="A515" s="27"/>
      <c r="B515" s="29"/>
      <c r="C515" s="166"/>
      <c r="D515" s="93"/>
      <c r="E515" s="166"/>
      <c r="F515" s="167"/>
      <c r="G515" s="168"/>
      <c r="H515" s="167"/>
      <c r="I515" s="41"/>
      <c r="J515" s="169"/>
      <c r="K515" s="48"/>
      <c r="L515" s="93"/>
      <c r="M515" s="94"/>
    </row>
    <row r="516" ht="40.5" customHeight="1">
      <c r="A516" s="27"/>
      <c r="B516" s="29"/>
      <c r="C516" s="166"/>
      <c r="D516" s="93"/>
      <c r="E516" s="166"/>
      <c r="F516" s="167"/>
      <c r="G516" s="168"/>
      <c r="H516" s="167"/>
      <c r="I516" s="41"/>
      <c r="J516" s="169"/>
      <c r="K516" s="48"/>
      <c r="L516" s="93"/>
      <c r="M516" s="94"/>
    </row>
    <row r="517" ht="40.5" customHeight="1">
      <c r="A517" s="27"/>
      <c r="B517" s="29"/>
      <c r="C517" s="166"/>
      <c r="D517" s="93"/>
      <c r="E517" s="166"/>
      <c r="F517" s="167"/>
      <c r="G517" s="168"/>
      <c r="H517" s="167"/>
      <c r="I517" s="41"/>
      <c r="J517" s="169"/>
      <c r="K517" s="48"/>
      <c r="L517" s="93"/>
      <c r="M517" s="94"/>
    </row>
    <row r="518" ht="40.5" customHeight="1">
      <c r="A518" s="27"/>
      <c r="B518" s="29"/>
      <c r="C518" s="166"/>
      <c r="D518" s="93"/>
      <c r="E518" s="166"/>
      <c r="F518" s="167"/>
      <c r="G518" s="168"/>
      <c r="H518" s="167"/>
      <c r="I518" s="41"/>
      <c r="J518" s="169"/>
      <c r="K518" s="48"/>
      <c r="L518" s="93"/>
      <c r="M518" s="94"/>
    </row>
    <row r="519" ht="40.5" customHeight="1">
      <c r="A519" s="27"/>
      <c r="B519" s="29"/>
      <c r="C519" s="166"/>
      <c r="D519" s="93"/>
      <c r="E519" s="166"/>
      <c r="F519" s="167"/>
      <c r="G519" s="168"/>
      <c r="H519" s="167"/>
      <c r="I519" s="41"/>
      <c r="J519" s="169"/>
      <c r="K519" s="48"/>
      <c r="L519" s="93"/>
      <c r="M519" s="94"/>
    </row>
    <row r="520" ht="40.5" customHeight="1">
      <c r="A520" s="27"/>
      <c r="B520" s="29"/>
      <c r="C520" s="166"/>
      <c r="D520" s="93"/>
      <c r="E520" s="166"/>
      <c r="F520" s="167"/>
      <c r="G520" s="168"/>
      <c r="H520" s="167"/>
      <c r="I520" s="41"/>
      <c r="J520" s="169"/>
      <c r="K520" s="48"/>
      <c r="L520" s="93"/>
      <c r="M520" s="94"/>
    </row>
    <row r="521" ht="40.5" customHeight="1">
      <c r="A521" s="27"/>
      <c r="B521" s="29"/>
      <c r="C521" s="166"/>
      <c r="D521" s="93"/>
      <c r="E521" s="166"/>
      <c r="F521" s="167"/>
      <c r="G521" s="168"/>
      <c r="H521" s="167"/>
      <c r="I521" s="41"/>
      <c r="J521" s="169"/>
      <c r="K521" s="48"/>
      <c r="L521" s="93"/>
      <c r="M521" s="94"/>
    </row>
    <row r="522" ht="40.5" customHeight="1">
      <c r="A522" s="27"/>
      <c r="B522" s="29"/>
      <c r="C522" s="166"/>
      <c r="D522" s="93"/>
      <c r="E522" s="166"/>
      <c r="F522" s="167"/>
      <c r="G522" s="168"/>
      <c r="H522" s="167"/>
      <c r="I522" s="41"/>
      <c r="J522" s="169"/>
      <c r="K522" s="48"/>
      <c r="L522" s="93"/>
      <c r="M522" s="94"/>
    </row>
    <row r="523" ht="40.5" customHeight="1">
      <c r="A523" s="27"/>
      <c r="B523" s="29"/>
      <c r="C523" s="166"/>
      <c r="D523" s="93"/>
      <c r="E523" s="166"/>
      <c r="F523" s="167"/>
      <c r="G523" s="168"/>
      <c r="H523" s="167"/>
      <c r="I523" s="41"/>
      <c r="J523" s="169"/>
      <c r="K523" s="48"/>
      <c r="L523" s="93"/>
      <c r="M523" s="94"/>
    </row>
    <row r="524" ht="40.5" customHeight="1">
      <c r="A524" s="27"/>
      <c r="B524" s="29"/>
      <c r="C524" s="166"/>
      <c r="D524" s="93"/>
      <c r="E524" s="166"/>
      <c r="F524" s="167"/>
      <c r="G524" s="168"/>
      <c r="H524" s="167"/>
      <c r="I524" s="41"/>
      <c r="J524" s="169"/>
      <c r="K524" s="48"/>
      <c r="L524" s="93"/>
      <c r="M524" s="94"/>
    </row>
    <row r="525" ht="40.5" customHeight="1">
      <c r="A525" s="27"/>
      <c r="B525" s="29"/>
      <c r="C525" s="166"/>
      <c r="D525" s="93"/>
      <c r="E525" s="166"/>
      <c r="F525" s="167"/>
      <c r="G525" s="168"/>
      <c r="H525" s="167"/>
      <c r="I525" s="41"/>
      <c r="J525" s="169"/>
      <c r="K525" s="48"/>
      <c r="L525" s="93"/>
      <c r="M525" s="94"/>
    </row>
    <row r="526" ht="40.5" customHeight="1">
      <c r="A526" s="27"/>
      <c r="B526" s="29"/>
      <c r="C526" s="166"/>
      <c r="D526" s="93"/>
      <c r="E526" s="166"/>
      <c r="F526" s="167"/>
      <c r="G526" s="168"/>
      <c r="H526" s="167"/>
      <c r="I526" s="41"/>
      <c r="J526" s="169"/>
      <c r="K526" s="48"/>
      <c r="L526" s="93"/>
      <c r="M526" s="94"/>
    </row>
    <row r="527" ht="40.5" customHeight="1">
      <c r="A527" s="27"/>
      <c r="B527" s="29"/>
      <c r="C527" s="166"/>
      <c r="D527" s="93"/>
      <c r="E527" s="166"/>
      <c r="F527" s="167"/>
      <c r="G527" s="168"/>
      <c r="H527" s="167"/>
      <c r="I527" s="41"/>
      <c r="J527" s="169"/>
      <c r="K527" s="48"/>
      <c r="L527" s="93"/>
      <c r="M527" s="94"/>
    </row>
    <row r="528" ht="40.5" customHeight="1">
      <c r="A528" s="27"/>
      <c r="B528" s="29"/>
      <c r="C528" s="166"/>
      <c r="D528" s="93"/>
      <c r="E528" s="166"/>
      <c r="F528" s="167"/>
      <c r="G528" s="168"/>
      <c r="H528" s="167"/>
      <c r="I528" s="41"/>
      <c r="J528" s="169"/>
      <c r="K528" s="48"/>
      <c r="L528" s="93"/>
      <c r="M528" s="94"/>
    </row>
    <row r="529" ht="40.5" customHeight="1">
      <c r="A529" s="27"/>
      <c r="B529" s="29"/>
      <c r="C529" s="166"/>
      <c r="D529" s="93"/>
      <c r="E529" s="166"/>
      <c r="F529" s="167"/>
      <c r="G529" s="168"/>
      <c r="H529" s="167"/>
      <c r="I529" s="41"/>
      <c r="J529" s="169"/>
      <c r="K529" s="48"/>
      <c r="L529" s="93"/>
      <c r="M529" s="94"/>
    </row>
    <row r="530" ht="40.5" customHeight="1">
      <c r="A530" s="27"/>
      <c r="B530" s="29"/>
      <c r="C530" s="166"/>
      <c r="D530" s="93"/>
      <c r="E530" s="166"/>
      <c r="F530" s="167"/>
      <c r="G530" s="168"/>
      <c r="H530" s="167"/>
      <c r="I530" s="41"/>
      <c r="J530" s="169"/>
      <c r="K530" s="48"/>
      <c r="L530" s="93"/>
      <c r="M530" s="94"/>
    </row>
    <row r="531" ht="40.5" customHeight="1">
      <c r="A531" s="27"/>
      <c r="B531" s="29"/>
      <c r="C531" s="166"/>
      <c r="D531" s="93"/>
      <c r="E531" s="166"/>
      <c r="F531" s="167"/>
      <c r="G531" s="168"/>
      <c r="H531" s="167"/>
      <c r="I531" s="41"/>
      <c r="J531" s="169"/>
      <c r="K531" s="48"/>
      <c r="L531" s="93"/>
      <c r="M531" s="94"/>
    </row>
    <row r="532" ht="40.5" customHeight="1">
      <c r="A532" s="27"/>
      <c r="B532" s="29"/>
      <c r="C532" s="166"/>
      <c r="D532" s="93"/>
      <c r="E532" s="166"/>
      <c r="F532" s="167"/>
      <c r="G532" s="168"/>
      <c r="H532" s="167"/>
      <c r="I532" s="41"/>
      <c r="J532" s="169"/>
      <c r="K532" s="48"/>
      <c r="L532" s="93"/>
      <c r="M532" s="94"/>
    </row>
    <row r="533" ht="40.5" customHeight="1">
      <c r="A533" s="27"/>
      <c r="B533" s="29"/>
      <c r="C533" s="166"/>
      <c r="D533" s="93"/>
      <c r="E533" s="166"/>
      <c r="F533" s="167"/>
      <c r="G533" s="168"/>
      <c r="H533" s="167"/>
      <c r="I533" s="41"/>
      <c r="J533" s="169"/>
      <c r="K533" s="48"/>
      <c r="L533" s="93"/>
      <c r="M533" s="94"/>
    </row>
    <row r="534" ht="40.5" customHeight="1">
      <c r="A534" s="27"/>
      <c r="B534" s="29"/>
      <c r="C534" s="166"/>
      <c r="D534" s="93"/>
      <c r="E534" s="166"/>
      <c r="F534" s="167"/>
      <c r="G534" s="168"/>
      <c r="H534" s="167"/>
      <c r="I534" s="41"/>
      <c r="J534" s="169"/>
      <c r="K534" s="48"/>
      <c r="L534" s="93"/>
      <c r="M534" s="94"/>
    </row>
    <row r="535" ht="40.5" customHeight="1">
      <c r="A535" s="27"/>
      <c r="B535" s="29"/>
      <c r="C535" s="166"/>
      <c r="D535" s="93"/>
      <c r="E535" s="166"/>
      <c r="F535" s="167"/>
      <c r="G535" s="168"/>
      <c r="H535" s="167"/>
      <c r="I535" s="41"/>
      <c r="J535" s="169"/>
      <c r="K535" s="48"/>
      <c r="L535" s="93"/>
      <c r="M535" s="94"/>
    </row>
    <row r="536" ht="40.5" customHeight="1">
      <c r="A536" s="27"/>
      <c r="B536" s="29"/>
      <c r="C536" s="166"/>
      <c r="D536" s="93"/>
      <c r="E536" s="166"/>
      <c r="F536" s="167"/>
      <c r="G536" s="168"/>
      <c r="H536" s="167"/>
      <c r="I536" s="41"/>
      <c r="J536" s="169"/>
      <c r="K536" s="48"/>
      <c r="L536" s="93"/>
      <c r="M536" s="94"/>
    </row>
    <row r="537" ht="40.5" customHeight="1">
      <c r="A537" s="27"/>
      <c r="B537" s="29"/>
      <c r="C537" s="166"/>
      <c r="D537" s="93"/>
      <c r="E537" s="166"/>
      <c r="F537" s="167"/>
      <c r="G537" s="168"/>
      <c r="H537" s="167"/>
      <c r="I537" s="41"/>
      <c r="J537" s="169"/>
      <c r="K537" s="48"/>
      <c r="L537" s="93"/>
      <c r="M537" s="94"/>
    </row>
    <row r="538" ht="40.5" customHeight="1">
      <c r="A538" s="27"/>
      <c r="B538" s="29"/>
      <c r="C538" s="166"/>
      <c r="D538" s="93"/>
      <c r="E538" s="166"/>
      <c r="F538" s="167"/>
      <c r="G538" s="168"/>
      <c r="H538" s="167"/>
      <c r="I538" s="41"/>
      <c r="J538" s="169"/>
      <c r="K538" s="48"/>
      <c r="L538" s="93"/>
      <c r="M538" s="94"/>
    </row>
    <row r="539" ht="40.5" customHeight="1">
      <c r="A539" s="27"/>
      <c r="B539" s="29"/>
      <c r="C539" s="166"/>
      <c r="D539" s="93"/>
      <c r="E539" s="166"/>
      <c r="F539" s="167"/>
      <c r="G539" s="168"/>
      <c r="H539" s="167"/>
      <c r="I539" s="41"/>
      <c r="J539" s="169"/>
      <c r="K539" s="48"/>
      <c r="L539" s="93"/>
      <c r="M539" s="94"/>
    </row>
    <row r="540" ht="40.5" customHeight="1">
      <c r="A540" s="27"/>
      <c r="B540" s="29"/>
      <c r="C540" s="166"/>
      <c r="D540" s="93"/>
      <c r="E540" s="166"/>
      <c r="F540" s="167"/>
      <c r="G540" s="168"/>
      <c r="H540" s="167"/>
      <c r="I540" s="41"/>
      <c r="J540" s="169"/>
      <c r="K540" s="48"/>
      <c r="L540" s="93"/>
      <c r="M540" s="94"/>
    </row>
    <row r="541" ht="40.5" customHeight="1">
      <c r="A541" s="27"/>
      <c r="B541" s="29"/>
      <c r="C541" s="166"/>
      <c r="D541" s="93"/>
      <c r="E541" s="166"/>
      <c r="F541" s="167"/>
      <c r="G541" s="168"/>
      <c r="H541" s="167"/>
      <c r="I541" s="41"/>
      <c r="J541" s="169"/>
      <c r="K541" s="48"/>
      <c r="L541" s="93"/>
      <c r="M541" s="94"/>
    </row>
    <row r="542" ht="40.5" customHeight="1">
      <c r="A542" s="27"/>
      <c r="B542" s="29"/>
      <c r="C542" s="166"/>
      <c r="D542" s="93"/>
      <c r="E542" s="166"/>
      <c r="F542" s="167"/>
      <c r="G542" s="168"/>
      <c r="H542" s="167"/>
      <c r="I542" s="41"/>
      <c r="J542" s="169"/>
      <c r="K542" s="48"/>
      <c r="L542" s="93"/>
      <c r="M542" s="94"/>
    </row>
    <row r="543" ht="40.5" customHeight="1">
      <c r="A543" s="27"/>
      <c r="B543" s="29"/>
      <c r="C543" s="166"/>
      <c r="D543" s="93"/>
      <c r="E543" s="166"/>
      <c r="F543" s="167"/>
      <c r="G543" s="168"/>
      <c r="H543" s="167"/>
      <c r="I543" s="41"/>
      <c r="J543" s="169"/>
      <c r="K543" s="48"/>
      <c r="L543" s="93"/>
      <c r="M543" s="94"/>
    </row>
    <row r="544" ht="40.5" customHeight="1">
      <c r="A544" s="27"/>
      <c r="B544" s="29"/>
      <c r="C544" s="166"/>
      <c r="D544" s="93"/>
      <c r="E544" s="166"/>
      <c r="F544" s="167"/>
      <c r="G544" s="168"/>
      <c r="H544" s="167"/>
      <c r="I544" s="41"/>
      <c r="J544" s="169"/>
      <c r="K544" s="48"/>
      <c r="L544" s="93"/>
      <c r="M544" s="94"/>
    </row>
    <row r="545" ht="40.5" customHeight="1">
      <c r="A545" s="27"/>
      <c r="B545" s="29"/>
      <c r="C545" s="166"/>
      <c r="D545" s="93"/>
      <c r="E545" s="166"/>
      <c r="F545" s="167"/>
      <c r="G545" s="168"/>
      <c r="H545" s="167"/>
      <c r="I545" s="41"/>
      <c r="J545" s="169"/>
      <c r="K545" s="48"/>
      <c r="L545" s="93"/>
      <c r="M545" s="94"/>
    </row>
    <row r="546" ht="40.5" customHeight="1">
      <c r="A546" s="27"/>
      <c r="B546" s="29"/>
      <c r="C546" s="166"/>
      <c r="D546" s="93"/>
      <c r="E546" s="166"/>
      <c r="F546" s="167"/>
      <c r="G546" s="168"/>
      <c r="H546" s="167"/>
      <c r="I546" s="41"/>
      <c r="J546" s="169"/>
      <c r="K546" s="48"/>
      <c r="L546" s="93"/>
      <c r="M546" s="94"/>
    </row>
    <row r="547" ht="40.5" customHeight="1">
      <c r="A547" s="27"/>
      <c r="B547" s="29"/>
      <c r="C547" s="166"/>
      <c r="D547" s="93"/>
      <c r="E547" s="166"/>
      <c r="F547" s="167"/>
      <c r="G547" s="168"/>
      <c r="H547" s="167"/>
      <c r="I547" s="41"/>
      <c r="J547" s="169"/>
      <c r="K547" s="48"/>
      <c r="L547" s="93"/>
      <c r="M547" s="94"/>
    </row>
    <row r="548" ht="40.5" customHeight="1">
      <c r="A548" s="27"/>
      <c r="B548" s="29"/>
      <c r="C548" s="166"/>
      <c r="D548" s="93"/>
      <c r="E548" s="166"/>
      <c r="F548" s="167"/>
      <c r="G548" s="168"/>
      <c r="H548" s="167"/>
      <c r="I548" s="41"/>
      <c r="J548" s="169"/>
      <c r="K548" s="48"/>
      <c r="L548" s="93"/>
      <c r="M548" s="94"/>
    </row>
    <row r="549" ht="40.5" customHeight="1">
      <c r="A549" s="27"/>
      <c r="B549" s="29"/>
      <c r="C549" s="166"/>
      <c r="D549" s="93"/>
      <c r="E549" s="166"/>
      <c r="F549" s="167"/>
      <c r="G549" s="168"/>
      <c r="H549" s="167"/>
      <c r="I549" s="41"/>
      <c r="J549" s="169"/>
      <c r="K549" s="48"/>
      <c r="L549" s="93"/>
      <c r="M549" s="94"/>
    </row>
    <row r="550" ht="40.5" customHeight="1">
      <c r="A550" s="27"/>
      <c r="B550" s="29"/>
      <c r="C550" s="166"/>
      <c r="D550" s="93"/>
      <c r="E550" s="166"/>
      <c r="F550" s="167"/>
      <c r="G550" s="168"/>
      <c r="H550" s="167"/>
      <c r="I550" s="41"/>
      <c r="J550" s="169"/>
      <c r="K550" s="48"/>
      <c r="L550" s="93"/>
      <c r="M550" s="94"/>
    </row>
    <row r="551" ht="40.5" customHeight="1">
      <c r="A551" s="27"/>
      <c r="B551" s="29"/>
      <c r="C551" s="166"/>
      <c r="D551" s="93"/>
      <c r="E551" s="166"/>
      <c r="F551" s="167"/>
      <c r="G551" s="168"/>
      <c r="H551" s="167"/>
      <c r="I551" s="41"/>
      <c r="J551" s="169"/>
      <c r="K551" s="48"/>
      <c r="L551" s="93"/>
      <c r="M551" s="94"/>
    </row>
    <row r="552" ht="40.5" customHeight="1">
      <c r="A552" s="27"/>
      <c r="B552" s="29"/>
      <c r="C552" s="166"/>
      <c r="D552" s="93"/>
      <c r="E552" s="166"/>
      <c r="F552" s="167"/>
      <c r="G552" s="168"/>
      <c r="H552" s="167"/>
      <c r="I552" s="41"/>
      <c r="J552" s="169"/>
      <c r="K552" s="48"/>
      <c r="L552" s="93"/>
      <c r="M552" s="94"/>
    </row>
    <row r="553" ht="40.5" customHeight="1">
      <c r="A553" s="27"/>
      <c r="B553" s="29"/>
      <c r="C553" s="166"/>
      <c r="D553" s="93"/>
      <c r="E553" s="166"/>
      <c r="F553" s="167"/>
      <c r="G553" s="168"/>
      <c r="H553" s="167"/>
      <c r="I553" s="41"/>
      <c r="J553" s="169"/>
      <c r="K553" s="48"/>
      <c r="L553" s="93"/>
      <c r="M553" s="94"/>
    </row>
    <row r="554" ht="40.5" customHeight="1">
      <c r="A554" s="27"/>
      <c r="B554" s="29"/>
      <c r="C554" s="166"/>
      <c r="D554" s="93"/>
      <c r="E554" s="166"/>
      <c r="F554" s="167"/>
      <c r="G554" s="168"/>
      <c r="H554" s="167"/>
      <c r="I554" s="41"/>
      <c r="J554" s="169"/>
      <c r="K554" s="48"/>
      <c r="L554" s="93"/>
      <c r="M554" s="94"/>
    </row>
    <row r="555" ht="40.5" customHeight="1">
      <c r="A555" s="27"/>
      <c r="B555" s="29"/>
      <c r="C555" s="166"/>
      <c r="D555" s="93"/>
      <c r="E555" s="166"/>
      <c r="F555" s="167"/>
      <c r="G555" s="168"/>
      <c r="H555" s="167"/>
      <c r="I555" s="41"/>
      <c r="J555" s="169"/>
      <c r="K555" s="48"/>
      <c r="L555" s="93"/>
      <c r="M555" s="94"/>
    </row>
    <row r="556" ht="40.5" customHeight="1">
      <c r="A556" s="27"/>
      <c r="B556" s="29"/>
      <c r="C556" s="166"/>
      <c r="D556" s="93"/>
      <c r="E556" s="166"/>
      <c r="F556" s="167"/>
      <c r="G556" s="168"/>
      <c r="H556" s="167"/>
      <c r="I556" s="41"/>
      <c r="J556" s="169"/>
      <c r="K556" s="48"/>
      <c r="L556" s="93"/>
      <c r="M556" s="94"/>
    </row>
    <row r="557" ht="40.5" customHeight="1">
      <c r="A557" s="27"/>
      <c r="B557" s="29"/>
      <c r="C557" s="166"/>
      <c r="D557" s="93"/>
      <c r="E557" s="166"/>
      <c r="F557" s="167"/>
      <c r="G557" s="168"/>
      <c r="H557" s="167"/>
      <c r="I557" s="41"/>
      <c r="J557" s="169"/>
      <c r="K557" s="48"/>
      <c r="L557" s="93"/>
      <c r="M557" s="94"/>
    </row>
    <row r="558" ht="40.5" customHeight="1">
      <c r="A558" s="27"/>
      <c r="B558" s="29"/>
      <c r="C558" s="166"/>
      <c r="D558" s="93"/>
      <c r="E558" s="166"/>
      <c r="F558" s="167"/>
      <c r="G558" s="168"/>
      <c r="H558" s="167"/>
      <c r="I558" s="41"/>
      <c r="J558" s="169"/>
      <c r="K558" s="48"/>
      <c r="L558" s="93"/>
      <c r="M558" s="94"/>
    </row>
    <row r="559" ht="40.5" customHeight="1">
      <c r="A559" s="27"/>
      <c r="B559" s="29"/>
      <c r="C559" s="166"/>
      <c r="D559" s="93"/>
      <c r="E559" s="166"/>
      <c r="F559" s="167"/>
      <c r="G559" s="168"/>
      <c r="H559" s="167"/>
      <c r="I559" s="41"/>
      <c r="J559" s="169"/>
      <c r="K559" s="48"/>
      <c r="L559" s="93"/>
      <c r="M559" s="94"/>
    </row>
    <row r="560" ht="40.5" customHeight="1">
      <c r="A560" s="27"/>
      <c r="B560" s="29"/>
      <c r="C560" s="166"/>
      <c r="D560" s="93"/>
      <c r="E560" s="166"/>
      <c r="F560" s="167"/>
      <c r="G560" s="168"/>
      <c r="H560" s="167"/>
      <c r="I560" s="41"/>
      <c r="J560" s="169"/>
      <c r="K560" s="48"/>
      <c r="L560" s="93"/>
      <c r="M560" s="94"/>
    </row>
    <row r="561" ht="40.5" customHeight="1">
      <c r="A561" s="27"/>
      <c r="B561" s="29"/>
      <c r="C561" s="166"/>
      <c r="D561" s="93"/>
      <c r="E561" s="166"/>
      <c r="F561" s="167"/>
      <c r="G561" s="168"/>
      <c r="H561" s="167"/>
      <c r="I561" s="41"/>
      <c r="J561" s="169"/>
      <c r="K561" s="48"/>
      <c r="L561" s="93"/>
      <c r="M561" s="94"/>
    </row>
    <row r="562" ht="40.5" customHeight="1">
      <c r="A562" s="27"/>
      <c r="B562" s="29"/>
      <c r="C562" s="166"/>
      <c r="D562" s="93"/>
      <c r="E562" s="166"/>
      <c r="F562" s="167"/>
      <c r="G562" s="168"/>
      <c r="H562" s="167"/>
      <c r="I562" s="41"/>
      <c r="J562" s="169"/>
      <c r="K562" s="48"/>
      <c r="L562" s="93"/>
      <c r="M562" s="94"/>
    </row>
    <row r="563" ht="40.5" customHeight="1">
      <c r="A563" s="27"/>
      <c r="B563" s="29"/>
      <c r="C563" s="166"/>
      <c r="D563" s="93"/>
      <c r="E563" s="166"/>
      <c r="F563" s="167"/>
      <c r="G563" s="168"/>
      <c r="H563" s="167"/>
      <c r="I563" s="41"/>
      <c r="J563" s="169"/>
      <c r="K563" s="48"/>
      <c r="L563" s="93"/>
      <c r="M563" s="94"/>
    </row>
    <row r="564" ht="40.5" customHeight="1">
      <c r="A564" s="27"/>
      <c r="B564" s="29"/>
      <c r="C564" s="166"/>
      <c r="D564" s="93"/>
      <c r="E564" s="166"/>
      <c r="F564" s="167"/>
      <c r="G564" s="168"/>
      <c r="H564" s="167"/>
      <c r="I564" s="41"/>
      <c r="J564" s="169"/>
      <c r="K564" s="48"/>
      <c r="L564" s="93"/>
      <c r="M564" s="94"/>
    </row>
    <row r="565" ht="40.5" customHeight="1">
      <c r="A565" s="27"/>
      <c r="B565" s="29"/>
      <c r="C565" s="166"/>
      <c r="D565" s="93"/>
      <c r="E565" s="166"/>
      <c r="F565" s="167"/>
      <c r="G565" s="168"/>
      <c r="H565" s="167"/>
      <c r="I565" s="41"/>
      <c r="J565" s="169"/>
      <c r="K565" s="48"/>
      <c r="L565" s="93"/>
      <c r="M565" s="94"/>
    </row>
    <row r="566" ht="40.5" customHeight="1">
      <c r="A566" s="27"/>
      <c r="B566" s="29"/>
      <c r="C566" s="166"/>
      <c r="D566" s="93"/>
      <c r="E566" s="166"/>
      <c r="F566" s="167"/>
      <c r="G566" s="168"/>
      <c r="H566" s="167"/>
      <c r="I566" s="41"/>
      <c r="J566" s="169"/>
      <c r="K566" s="48"/>
      <c r="L566" s="93"/>
      <c r="M566" s="94"/>
    </row>
    <row r="567" ht="40.5" customHeight="1">
      <c r="A567" s="27"/>
      <c r="B567" s="29"/>
      <c r="C567" s="166"/>
      <c r="D567" s="93"/>
      <c r="E567" s="166"/>
      <c r="F567" s="167"/>
      <c r="G567" s="168"/>
      <c r="H567" s="167"/>
      <c r="I567" s="41"/>
      <c r="J567" s="169"/>
      <c r="K567" s="48"/>
      <c r="L567" s="93"/>
      <c r="M567" s="94"/>
    </row>
    <row r="568" ht="40.5" customHeight="1">
      <c r="A568" s="27"/>
      <c r="B568" s="29"/>
      <c r="C568" s="166"/>
      <c r="D568" s="93"/>
      <c r="E568" s="166"/>
      <c r="F568" s="167"/>
      <c r="G568" s="168"/>
      <c r="H568" s="167"/>
      <c r="I568" s="41"/>
      <c r="J568" s="169"/>
      <c r="K568" s="48"/>
      <c r="L568" s="93"/>
      <c r="M568" s="94"/>
    </row>
    <row r="569" ht="40.5" customHeight="1">
      <c r="A569" s="27"/>
      <c r="B569" s="29"/>
      <c r="C569" s="166"/>
      <c r="D569" s="93"/>
      <c r="E569" s="166"/>
      <c r="F569" s="167"/>
      <c r="G569" s="168"/>
      <c r="H569" s="167"/>
      <c r="I569" s="41"/>
      <c r="J569" s="169"/>
      <c r="K569" s="48"/>
      <c r="L569" s="93"/>
      <c r="M569" s="94"/>
    </row>
    <row r="570" ht="40.5" customHeight="1">
      <c r="A570" s="27"/>
      <c r="B570" s="29"/>
      <c r="C570" s="166"/>
      <c r="D570" s="93"/>
      <c r="E570" s="166"/>
      <c r="F570" s="167"/>
      <c r="G570" s="168"/>
      <c r="H570" s="167"/>
      <c r="I570" s="41"/>
      <c r="J570" s="169"/>
      <c r="K570" s="48"/>
      <c r="L570" s="93"/>
      <c r="M570" s="94"/>
    </row>
    <row r="571" ht="40.5" customHeight="1">
      <c r="A571" s="27"/>
      <c r="B571" s="29"/>
      <c r="C571" s="166"/>
      <c r="D571" s="93"/>
      <c r="E571" s="166"/>
      <c r="F571" s="167"/>
      <c r="G571" s="168"/>
      <c r="H571" s="167"/>
      <c r="I571" s="41"/>
      <c r="J571" s="169"/>
      <c r="K571" s="48"/>
      <c r="L571" s="93"/>
      <c r="M571" s="94"/>
    </row>
    <row r="572" ht="40.5" customHeight="1">
      <c r="A572" s="27"/>
      <c r="B572" s="29"/>
      <c r="C572" s="166"/>
      <c r="D572" s="93"/>
      <c r="E572" s="166"/>
      <c r="F572" s="167"/>
      <c r="G572" s="168"/>
      <c r="H572" s="167"/>
      <c r="I572" s="41"/>
      <c r="J572" s="169"/>
      <c r="K572" s="48"/>
      <c r="L572" s="93"/>
      <c r="M572" s="94"/>
    </row>
    <row r="573" ht="40.5" customHeight="1">
      <c r="A573" s="27"/>
      <c r="B573" s="29"/>
      <c r="C573" s="166"/>
      <c r="D573" s="93"/>
      <c r="E573" s="166"/>
      <c r="F573" s="167"/>
      <c r="G573" s="168"/>
      <c r="H573" s="167"/>
      <c r="I573" s="41"/>
      <c r="J573" s="169"/>
      <c r="K573" s="48"/>
      <c r="L573" s="93"/>
      <c r="M573" s="94"/>
    </row>
    <row r="574" ht="40.5" customHeight="1">
      <c r="A574" s="27"/>
      <c r="B574" s="29"/>
      <c r="C574" s="166"/>
      <c r="D574" s="93"/>
      <c r="E574" s="166"/>
      <c r="F574" s="167"/>
      <c r="G574" s="168"/>
      <c r="H574" s="167"/>
      <c r="I574" s="41"/>
      <c r="J574" s="169"/>
      <c r="K574" s="48"/>
      <c r="L574" s="93"/>
      <c r="M574" s="94"/>
    </row>
    <row r="575" ht="40.5" customHeight="1">
      <c r="A575" s="27"/>
      <c r="B575" s="29"/>
      <c r="C575" s="166"/>
      <c r="D575" s="93"/>
      <c r="E575" s="166"/>
      <c r="F575" s="167"/>
      <c r="G575" s="168"/>
      <c r="H575" s="167"/>
      <c r="I575" s="41"/>
      <c r="J575" s="169"/>
      <c r="K575" s="48"/>
      <c r="L575" s="93"/>
      <c r="M575" s="94"/>
    </row>
    <row r="576" ht="40.5" customHeight="1">
      <c r="A576" s="27"/>
      <c r="B576" s="29"/>
      <c r="C576" s="166"/>
      <c r="D576" s="93"/>
      <c r="E576" s="166"/>
      <c r="F576" s="167"/>
      <c r="G576" s="168"/>
      <c r="H576" s="167"/>
      <c r="I576" s="41"/>
      <c r="J576" s="169"/>
      <c r="K576" s="48"/>
      <c r="L576" s="93"/>
      <c r="M576" s="94"/>
    </row>
    <row r="577" ht="40.5" customHeight="1">
      <c r="A577" s="27"/>
      <c r="B577" s="29"/>
      <c r="C577" s="166"/>
      <c r="D577" s="93"/>
      <c r="E577" s="166"/>
      <c r="F577" s="167"/>
      <c r="G577" s="168"/>
      <c r="H577" s="167"/>
      <c r="I577" s="41"/>
      <c r="J577" s="169"/>
      <c r="K577" s="48"/>
      <c r="L577" s="93"/>
      <c r="M577" s="94"/>
    </row>
    <row r="578" ht="40.5" customHeight="1">
      <c r="A578" s="27"/>
      <c r="B578" s="29"/>
      <c r="C578" s="166"/>
      <c r="D578" s="93"/>
      <c r="E578" s="166"/>
      <c r="F578" s="167"/>
      <c r="G578" s="168"/>
      <c r="H578" s="167"/>
      <c r="I578" s="41"/>
      <c r="J578" s="169"/>
      <c r="K578" s="48"/>
      <c r="L578" s="93"/>
      <c r="M578" s="94"/>
    </row>
    <row r="579" ht="40.5" customHeight="1">
      <c r="A579" s="27"/>
      <c r="B579" s="29"/>
      <c r="C579" s="166"/>
      <c r="D579" s="93"/>
      <c r="E579" s="166"/>
      <c r="F579" s="167"/>
      <c r="G579" s="168"/>
      <c r="H579" s="167"/>
      <c r="I579" s="41"/>
      <c r="J579" s="169"/>
      <c r="K579" s="48"/>
      <c r="L579" s="93"/>
      <c r="M579" s="94"/>
    </row>
    <row r="580" ht="40.5" customHeight="1">
      <c r="A580" s="27"/>
      <c r="B580" s="29"/>
      <c r="C580" s="166"/>
      <c r="D580" s="93"/>
      <c r="E580" s="166"/>
      <c r="F580" s="167"/>
      <c r="G580" s="168"/>
      <c r="H580" s="167"/>
      <c r="I580" s="41"/>
      <c r="J580" s="169"/>
      <c r="K580" s="48"/>
      <c r="L580" s="93"/>
      <c r="M580" s="94"/>
    </row>
    <row r="581" ht="40.5" customHeight="1">
      <c r="A581" s="27"/>
      <c r="B581" s="29"/>
      <c r="C581" s="166"/>
      <c r="D581" s="93"/>
      <c r="E581" s="166"/>
      <c r="F581" s="167"/>
      <c r="G581" s="168"/>
      <c r="H581" s="167"/>
      <c r="I581" s="41"/>
      <c r="J581" s="169"/>
      <c r="K581" s="48"/>
      <c r="L581" s="93"/>
      <c r="M581" s="94"/>
    </row>
    <row r="582" ht="40.5" customHeight="1">
      <c r="A582" s="27"/>
      <c r="B582" s="29"/>
      <c r="C582" s="166"/>
      <c r="D582" s="93"/>
      <c r="E582" s="166"/>
      <c r="F582" s="167"/>
      <c r="G582" s="168"/>
      <c r="H582" s="167"/>
      <c r="I582" s="41"/>
      <c r="J582" s="169"/>
      <c r="K582" s="48"/>
      <c r="L582" s="93"/>
      <c r="M582" s="94"/>
    </row>
    <row r="583" ht="40.5" customHeight="1">
      <c r="A583" s="27"/>
      <c r="B583" s="29"/>
      <c r="C583" s="166"/>
      <c r="D583" s="93"/>
      <c r="E583" s="166"/>
      <c r="F583" s="167"/>
      <c r="G583" s="168"/>
      <c r="H583" s="167"/>
      <c r="I583" s="41"/>
      <c r="J583" s="169"/>
      <c r="K583" s="48"/>
      <c r="L583" s="93"/>
      <c r="M583" s="94"/>
    </row>
    <row r="584" ht="40.5" customHeight="1">
      <c r="A584" s="27"/>
      <c r="B584" s="29"/>
      <c r="C584" s="166"/>
      <c r="D584" s="93"/>
      <c r="E584" s="166"/>
      <c r="F584" s="167"/>
      <c r="G584" s="168"/>
      <c r="H584" s="167"/>
      <c r="I584" s="41"/>
      <c r="J584" s="169"/>
      <c r="K584" s="48"/>
      <c r="L584" s="93"/>
      <c r="M584" s="94"/>
    </row>
    <row r="585" ht="40.5" customHeight="1">
      <c r="A585" s="27"/>
      <c r="B585" s="29"/>
      <c r="C585" s="166"/>
      <c r="D585" s="93"/>
      <c r="E585" s="166"/>
      <c r="F585" s="167"/>
      <c r="G585" s="168"/>
      <c r="H585" s="167"/>
      <c r="I585" s="41"/>
      <c r="J585" s="169"/>
      <c r="K585" s="48"/>
      <c r="L585" s="93"/>
      <c r="M585" s="94"/>
    </row>
    <row r="586" ht="40.5" customHeight="1">
      <c r="A586" s="27"/>
      <c r="B586" s="29"/>
      <c r="C586" s="166"/>
      <c r="D586" s="93"/>
      <c r="E586" s="166"/>
      <c r="F586" s="167"/>
      <c r="G586" s="168"/>
      <c r="H586" s="167"/>
      <c r="I586" s="41"/>
      <c r="J586" s="169"/>
      <c r="K586" s="48"/>
      <c r="L586" s="93"/>
      <c r="M586" s="94"/>
    </row>
    <row r="587" ht="40.5" customHeight="1">
      <c r="A587" s="27"/>
      <c r="B587" s="29"/>
      <c r="C587" s="166"/>
      <c r="D587" s="93"/>
      <c r="E587" s="166"/>
      <c r="F587" s="167"/>
      <c r="G587" s="168"/>
      <c r="H587" s="167"/>
      <c r="I587" s="41"/>
      <c r="J587" s="169"/>
      <c r="K587" s="48"/>
      <c r="L587" s="93"/>
      <c r="M587" s="94"/>
    </row>
    <row r="588" ht="40.5" customHeight="1">
      <c r="A588" s="27"/>
      <c r="B588" s="29"/>
      <c r="C588" s="166"/>
      <c r="D588" s="93"/>
      <c r="E588" s="166"/>
      <c r="F588" s="167"/>
      <c r="G588" s="168"/>
      <c r="H588" s="167"/>
      <c r="I588" s="41"/>
      <c r="J588" s="169"/>
      <c r="K588" s="48"/>
      <c r="L588" s="93"/>
      <c r="M588" s="94"/>
    </row>
    <row r="589" ht="40.5" customHeight="1">
      <c r="A589" s="27"/>
      <c r="B589" s="29"/>
      <c r="C589" s="166"/>
      <c r="D589" s="93"/>
      <c r="E589" s="166"/>
      <c r="F589" s="167"/>
      <c r="G589" s="168"/>
      <c r="H589" s="167"/>
      <c r="I589" s="41"/>
      <c r="J589" s="169"/>
      <c r="K589" s="48"/>
      <c r="L589" s="93"/>
      <c r="M589" s="94"/>
    </row>
    <row r="590" ht="40.5" customHeight="1">
      <c r="A590" s="27"/>
      <c r="B590" s="29"/>
      <c r="C590" s="166"/>
      <c r="D590" s="93"/>
      <c r="E590" s="166"/>
      <c r="F590" s="167"/>
      <c r="G590" s="168"/>
      <c r="H590" s="167"/>
      <c r="I590" s="41"/>
      <c r="J590" s="169"/>
      <c r="K590" s="48"/>
      <c r="L590" s="93"/>
      <c r="M590" s="94"/>
    </row>
    <row r="591" ht="40.5" customHeight="1">
      <c r="A591" s="27"/>
      <c r="B591" s="29"/>
      <c r="C591" s="166"/>
      <c r="D591" s="93"/>
      <c r="E591" s="166"/>
      <c r="F591" s="167"/>
      <c r="G591" s="168"/>
      <c r="H591" s="167"/>
      <c r="I591" s="41"/>
      <c r="J591" s="169"/>
      <c r="K591" s="48"/>
      <c r="L591" s="93"/>
      <c r="M591" s="94"/>
    </row>
    <row r="592" ht="40.5" customHeight="1">
      <c r="A592" s="27"/>
      <c r="B592" s="29"/>
      <c r="C592" s="166"/>
      <c r="D592" s="93"/>
      <c r="E592" s="166"/>
      <c r="F592" s="167"/>
      <c r="G592" s="168"/>
      <c r="H592" s="167"/>
      <c r="I592" s="41"/>
      <c r="J592" s="169"/>
      <c r="K592" s="48"/>
      <c r="L592" s="93"/>
      <c r="M592" s="94"/>
    </row>
    <row r="593" ht="40.5" customHeight="1">
      <c r="A593" s="27"/>
      <c r="B593" s="29"/>
      <c r="C593" s="166"/>
      <c r="D593" s="93"/>
      <c r="E593" s="166"/>
      <c r="F593" s="167"/>
      <c r="G593" s="168"/>
      <c r="H593" s="167"/>
      <c r="I593" s="41"/>
      <c r="J593" s="169"/>
      <c r="K593" s="48"/>
      <c r="L593" s="93"/>
      <c r="M593" s="94"/>
    </row>
    <row r="594" ht="40.5" customHeight="1">
      <c r="A594" s="27"/>
      <c r="B594" s="29"/>
      <c r="C594" s="166"/>
      <c r="D594" s="93"/>
      <c r="E594" s="166"/>
      <c r="F594" s="167"/>
      <c r="G594" s="168"/>
      <c r="H594" s="167"/>
      <c r="I594" s="41"/>
      <c r="J594" s="169"/>
      <c r="K594" s="48"/>
      <c r="L594" s="93"/>
      <c r="M594" s="94"/>
    </row>
    <row r="595" ht="40.5" customHeight="1">
      <c r="A595" s="27"/>
      <c r="B595" s="29"/>
      <c r="C595" s="166"/>
      <c r="D595" s="93"/>
      <c r="E595" s="166"/>
      <c r="F595" s="167"/>
      <c r="G595" s="168"/>
      <c r="H595" s="167"/>
      <c r="I595" s="41"/>
      <c r="J595" s="169"/>
      <c r="K595" s="48"/>
      <c r="L595" s="93"/>
      <c r="M595" s="94"/>
    </row>
    <row r="596" ht="40.5" customHeight="1">
      <c r="A596" s="27"/>
      <c r="B596" s="29"/>
      <c r="C596" s="166"/>
      <c r="D596" s="93"/>
      <c r="E596" s="166"/>
      <c r="F596" s="167"/>
      <c r="G596" s="168"/>
      <c r="H596" s="167"/>
      <c r="I596" s="41"/>
      <c r="J596" s="169"/>
      <c r="K596" s="48"/>
      <c r="L596" s="93"/>
      <c r="M596" s="94"/>
    </row>
    <row r="597" ht="40.5" customHeight="1">
      <c r="A597" s="27"/>
      <c r="B597" s="29"/>
      <c r="C597" s="166"/>
      <c r="D597" s="93"/>
      <c r="E597" s="166"/>
      <c r="F597" s="167"/>
      <c r="G597" s="168"/>
      <c r="H597" s="167"/>
      <c r="I597" s="41"/>
      <c r="J597" s="169"/>
      <c r="K597" s="48"/>
      <c r="L597" s="93"/>
      <c r="M597" s="94"/>
    </row>
    <row r="598" ht="40.5" customHeight="1">
      <c r="A598" s="27"/>
      <c r="B598" s="29"/>
      <c r="C598" s="166"/>
      <c r="D598" s="93"/>
      <c r="E598" s="166"/>
      <c r="F598" s="167"/>
      <c r="G598" s="168"/>
      <c r="H598" s="167"/>
      <c r="I598" s="41"/>
      <c r="J598" s="169"/>
      <c r="K598" s="48"/>
      <c r="L598" s="93"/>
      <c r="M598" s="94"/>
    </row>
    <row r="599" ht="40.5" customHeight="1">
      <c r="A599" s="27"/>
      <c r="B599" s="29"/>
      <c r="C599" s="166"/>
      <c r="D599" s="93"/>
      <c r="E599" s="166"/>
      <c r="F599" s="167"/>
      <c r="G599" s="168"/>
      <c r="H599" s="167"/>
      <c r="I599" s="41"/>
      <c r="J599" s="169"/>
      <c r="K599" s="48"/>
      <c r="L599" s="93"/>
      <c r="M599" s="94"/>
    </row>
    <row r="600" ht="40.5" customHeight="1">
      <c r="A600" s="27"/>
      <c r="B600" s="29"/>
      <c r="C600" s="166"/>
      <c r="D600" s="93"/>
      <c r="E600" s="166"/>
      <c r="F600" s="167"/>
      <c r="G600" s="168"/>
      <c r="H600" s="167"/>
      <c r="I600" s="41"/>
      <c r="J600" s="169"/>
      <c r="K600" s="48"/>
      <c r="L600" s="93"/>
      <c r="M600" s="94"/>
    </row>
    <row r="601" ht="40.5" customHeight="1">
      <c r="A601" s="27"/>
      <c r="B601" s="29"/>
      <c r="C601" s="166"/>
      <c r="D601" s="93"/>
      <c r="E601" s="166"/>
      <c r="F601" s="167"/>
      <c r="G601" s="168"/>
      <c r="H601" s="167"/>
      <c r="I601" s="41"/>
      <c r="J601" s="169"/>
      <c r="K601" s="48"/>
      <c r="L601" s="93"/>
      <c r="M601" s="94"/>
    </row>
    <row r="602" ht="40.5" customHeight="1">
      <c r="A602" s="27"/>
      <c r="B602" s="29"/>
      <c r="C602" s="166"/>
      <c r="D602" s="93"/>
      <c r="E602" s="166"/>
      <c r="F602" s="167"/>
      <c r="G602" s="168"/>
      <c r="H602" s="167"/>
      <c r="I602" s="41"/>
      <c r="J602" s="169"/>
      <c r="K602" s="48"/>
      <c r="L602" s="93"/>
      <c r="M602" s="94"/>
    </row>
    <row r="603" ht="40.5" customHeight="1">
      <c r="A603" s="27"/>
      <c r="B603" s="29"/>
      <c r="C603" s="166"/>
      <c r="D603" s="93"/>
      <c r="E603" s="166"/>
      <c r="F603" s="167"/>
      <c r="G603" s="168"/>
      <c r="H603" s="167"/>
      <c r="I603" s="41"/>
      <c r="J603" s="169"/>
      <c r="K603" s="48"/>
      <c r="L603" s="93"/>
      <c r="M603" s="94"/>
    </row>
    <row r="604" ht="40.5" customHeight="1">
      <c r="A604" s="27"/>
      <c r="B604" s="29"/>
      <c r="C604" s="166"/>
      <c r="D604" s="93"/>
      <c r="E604" s="166"/>
      <c r="F604" s="167"/>
      <c r="G604" s="168"/>
      <c r="H604" s="167"/>
      <c r="I604" s="41"/>
      <c r="J604" s="169"/>
      <c r="K604" s="48"/>
      <c r="L604" s="93"/>
      <c r="M604" s="94"/>
    </row>
    <row r="605" ht="40.5" customHeight="1">
      <c r="A605" s="27"/>
      <c r="B605" s="29"/>
      <c r="C605" s="166"/>
      <c r="D605" s="93"/>
      <c r="E605" s="166"/>
      <c r="F605" s="167"/>
      <c r="G605" s="168"/>
      <c r="H605" s="167"/>
      <c r="I605" s="41"/>
      <c r="J605" s="169"/>
      <c r="K605" s="48"/>
      <c r="L605" s="93"/>
      <c r="M605" s="94"/>
    </row>
    <row r="606" ht="40.5" customHeight="1">
      <c r="A606" s="27"/>
      <c r="B606" s="29"/>
      <c r="C606" s="166"/>
      <c r="D606" s="93"/>
      <c r="E606" s="166"/>
      <c r="F606" s="167"/>
      <c r="G606" s="168"/>
      <c r="H606" s="167"/>
      <c r="I606" s="41"/>
      <c r="J606" s="169"/>
      <c r="K606" s="48"/>
      <c r="L606" s="93"/>
      <c r="M606" s="94"/>
    </row>
    <row r="607" ht="40.5" customHeight="1">
      <c r="A607" s="27"/>
      <c r="B607" s="29"/>
      <c r="C607" s="166"/>
      <c r="D607" s="93"/>
      <c r="E607" s="166"/>
      <c r="F607" s="167"/>
      <c r="G607" s="168"/>
      <c r="H607" s="167"/>
      <c r="I607" s="41"/>
      <c r="J607" s="169"/>
      <c r="K607" s="48"/>
      <c r="L607" s="93"/>
      <c r="M607" s="94"/>
    </row>
    <row r="608" ht="40.5" customHeight="1">
      <c r="A608" s="27"/>
      <c r="B608" s="29"/>
      <c r="C608" s="166"/>
      <c r="D608" s="93"/>
      <c r="E608" s="166"/>
      <c r="F608" s="167"/>
      <c r="G608" s="168"/>
      <c r="H608" s="167"/>
      <c r="I608" s="41"/>
      <c r="J608" s="169"/>
      <c r="K608" s="48"/>
      <c r="L608" s="93"/>
      <c r="M608" s="94"/>
    </row>
    <row r="609" ht="40.5" customHeight="1">
      <c r="A609" s="27"/>
      <c r="B609" s="29"/>
      <c r="C609" s="166"/>
      <c r="D609" s="93"/>
      <c r="E609" s="166"/>
      <c r="F609" s="167"/>
      <c r="G609" s="168"/>
      <c r="H609" s="167"/>
      <c r="I609" s="41"/>
      <c r="J609" s="169"/>
      <c r="K609" s="48"/>
      <c r="L609" s="93"/>
      <c r="M609" s="94"/>
    </row>
    <row r="610" ht="40.5" customHeight="1">
      <c r="A610" s="27"/>
      <c r="B610" s="29"/>
      <c r="C610" s="166"/>
      <c r="D610" s="93"/>
      <c r="E610" s="166"/>
      <c r="F610" s="167"/>
      <c r="G610" s="168"/>
      <c r="H610" s="167"/>
      <c r="I610" s="41"/>
      <c r="J610" s="169"/>
      <c r="K610" s="48"/>
      <c r="L610" s="93"/>
      <c r="M610" s="94"/>
    </row>
    <row r="611" ht="40.5" customHeight="1">
      <c r="A611" s="27"/>
      <c r="B611" s="29"/>
      <c r="C611" s="166"/>
      <c r="D611" s="93"/>
      <c r="E611" s="166"/>
      <c r="F611" s="167"/>
      <c r="G611" s="168"/>
      <c r="H611" s="167"/>
      <c r="I611" s="41"/>
      <c r="J611" s="169"/>
      <c r="K611" s="48"/>
      <c r="L611" s="93"/>
      <c r="M611" s="94"/>
    </row>
    <row r="612" ht="40.5" customHeight="1">
      <c r="A612" s="27"/>
      <c r="B612" s="29"/>
      <c r="C612" s="166"/>
      <c r="D612" s="93"/>
      <c r="E612" s="166"/>
      <c r="F612" s="167"/>
      <c r="G612" s="168"/>
      <c r="H612" s="167"/>
      <c r="I612" s="41"/>
      <c r="J612" s="169"/>
      <c r="K612" s="48"/>
      <c r="L612" s="93"/>
      <c r="M612" s="94"/>
    </row>
    <row r="613" ht="40.5" customHeight="1">
      <c r="A613" s="27"/>
      <c r="B613" s="29"/>
      <c r="C613" s="166"/>
      <c r="D613" s="93"/>
      <c r="E613" s="166"/>
      <c r="F613" s="167"/>
      <c r="G613" s="168"/>
      <c r="H613" s="167"/>
      <c r="I613" s="41"/>
      <c r="J613" s="169"/>
      <c r="K613" s="48"/>
      <c r="L613" s="93"/>
      <c r="M613" s="94"/>
    </row>
    <row r="614" ht="40.5" customHeight="1">
      <c r="A614" s="27"/>
      <c r="B614" s="29"/>
      <c r="C614" s="166"/>
      <c r="D614" s="93"/>
      <c r="E614" s="166"/>
      <c r="F614" s="167"/>
      <c r="G614" s="168"/>
      <c r="H614" s="167"/>
      <c r="I614" s="41"/>
      <c r="J614" s="169"/>
      <c r="K614" s="48"/>
      <c r="L614" s="93"/>
      <c r="M614" s="94"/>
    </row>
    <row r="615" ht="40.5" customHeight="1">
      <c r="A615" s="27"/>
      <c r="B615" s="29"/>
      <c r="C615" s="166"/>
      <c r="D615" s="93"/>
      <c r="E615" s="166"/>
      <c r="F615" s="167"/>
      <c r="G615" s="168"/>
      <c r="H615" s="167"/>
      <c r="I615" s="41"/>
      <c r="J615" s="169"/>
      <c r="K615" s="48"/>
      <c r="L615" s="93"/>
      <c r="M615" s="94"/>
    </row>
    <row r="616" ht="40.5" customHeight="1">
      <c r="A616" s="27"/>
      <c r="B616" s="29"/>
      <c r="C616" s="166"/>
      <c r="D616" s="93"/>
      <c r="E616" s="166"/>
      <c r="F616" s="167"/>
      <c r="G616" s="168"/>
      <c r="H616" s="167"/>
      <c r="I616" s="41"/>
      <c r="J616" s="169"/>
      <c r="K616" s="48"/>
      <c r="L616" s="93"/>
      <c r="M616" s="94"/>
    </row>
    <row r="617" ht="40.5" customHeight="1">
      <c r="A617" s="27"/>
      <c r="B617" s="29"/>
      <c r="C617" s="166"/>
      <c r="D617" s="93"/>
      <c r="E617" s="166"/>
      <c r="F617" s="167"/>
      <c r="G617" s="168"/>
      <c r="H617" s="167"/>
      <c r="I617" s="41"/>
      <c r="J617" s="169"/>
      <c r="K617" s="48"/>
      <c r="L617" s="93"/>
      <c r="M617" s="94"/>
    </row>
    <row r="618" ht="40.5" customHeight="1">
      <c r="A618" s="27"/>
      <c r="B618" s="29"/>
      <c r="C618" s="166"/>
      <c r="D618" s="93"/>
      <c r="E618" s="166"/>
      <c r="F618" s="167"/>
      <c r="G618" s="168"/>
      <c r="H618" s="167"/>
      <c r="I618" s="41"/>
      <c r="J618" s="169"/>
      <c r="K618" s="48"/>
      <c r="L618" s="93"/>
      <c r="M618" s="94"/>
    </row>
    <row r="619" ht="40.5" customHeight="1">
      <c r="A619" s="27"/>
      <c r="B619" s="29"/>
      <c r="C619" s="166"/>
      <c r="D619" s="93"/>
      <c r="E619" s="166"/>
      <c r="F619" s="167"/>
      <c r="G619" s="168"/>
      <c r="H619" s="167"/>
      <c r="I619" s="41"/>
      <c r="J619" s="169"/>
      <c r="K619" s="48"/>
      <c r="L619" s="93"/>
      <c r="M619" s="94"/>
    </row>
    <row r="620" ht="40.5" customHeight="1">
      <c r="A620" s="27"/>
      <c r="B620" s="29"/>
      <c r="C620" s="166"/>
      <c r="D620" s="93"/>
      <c r="E620" s="166"/>
      <c r="F620" s="167"/>
      <c r="G620" s="168"/>
      <c r="H620" s="167"/>
      <c r="I620" s="41"/>
      <c r="J620" s="169"/>
      <c r="K620" s="48"/>
      <c r="L620" s="93"/>
      <c r="M620" s="94"/>
    </row>
    <row r="621" ht="40.5" customHeight="1">
      <c r="A621" s="27"/>
      <c r="B621" s="29"/>
      <c r="C621" s="166"/>
      <c r="D621" s="93"/>
      <c r="E621" s="166"/>
      <c r="F621" s="167"/>
      <c r="G621" s="168"/>
      <c r="H621" s="167"/>
      <c r="I621" s="41"/>
      <c r="J621" s="169"/>
      <c r="K621" s="48"/>
      <c r="L621" s="93"/>
      <c r="M621" s="94"/>
    </row>
    <row r="622" ht="40.5" customHeight="1">
      <c r="A622" s="27"/>
      <c r="B622" s="29"/>
      <c r="C622" s="166"/>
      <c r="D622" s="93"/>
      <c r="E622" s="166"/>
      <c r="F622" s="167"/>
      <c r="G622" s="168"/>
      <c r="H622" s="167"/>
      <c r="I622" s="41"/>
      <c r="J622" s="169"/>
      <c r="K622" s="48"/>
      <c r="L622" s="93"/>
      <c r="M622" s="94"/>
    </row>
    <row r="623" ht="40.5" customHeight="1">
      <c r="A623" s="27"/>
      <c r="B623" s="29"/>
      <c r="C623" s="166"/>
      <c r="D623" s="93"/>
      <c r="E623" s="166"/>
      <c r="F623" s="167"/>
      <c r="G623" s="168"/>
      <c r="H623" s="167"/>
      <c r="I623" s="41"/>
      <c r="J623" s="169"/>
      <c r="K623" s="48"/>
      <c r="L623" s="93"/>
      <c r="M623" s="94"/>
    </row>
    <row r="624" ht="40.5" customHeight="1">
      <c r="A624" s="27"/>
      <c r="B624" s="29"/>
      <c r="C624" s="166"/>
      <c r="D624" s="93"/>
      <c r="E624" s="166"/>
      <c r="F624" s="167"/>
      <c r="G624" s="168"/>
      <c r="H624" s="167"/>
      <c r="I624" s="41"/>
      <c r="J624" s="169"/>
      <c r="K624" s="48"/>
      <c r="L624" s="93"/>
      <c r="M624" s="94"/>
    </row>
    <row r="625" ht="40.5" customHeight="1">
      <c r="A625" s="27"/>
      <c r="B625" s="29"/>
      <c r="C625" s="166"/>
      <c r="D625" s="93"/>
      <c r="E625" s="166"/>
      <c r="F625" s="167"/>
      <c r="G625" s="168"/>
      <c r="H625" s="167"/>
      <c r="I625" s="41"/>
      <c r="J625" s="169"/>
      <c r="K625" s="48"/>
      <c r="L625" s="93"/>
      <c r="M625" s="94"/>
    </row>
    <row r="626" ht="40.5" customHeight="1">
      <c r="A626" s="27"/>
      <c r="B626" s="29"/>
      <c r="C626" s="166"/>
      <c r="D626" s="93"/>
      <c r="E626" s="166"/>
      <c r="F626" s="167"/>
      <c r="G626" s="168"/>
      <c r="H626" s="167"/>
      <c r="I626" s="41"/>
      <c r="J626" s="169"/>
      <c r="K626" s="48"/>
      <c r="L626" s="93"/>
      <c r="M626" s="94"/>
    </row>
    <row r="627" ht="40.5" customHeight="1">
      <c r="A627" s="27"/>
      <c r="B627" s="29"/>
      <c r="C627" s="166"/>
      <c r="D627" s="93"/>
      <c r="E627" s="166"/>
      <c r="F627" s="167"/>
      <c r="G627" s="168"/>
      <c r="H627" s="167"/>
      <c r="I627" s="41"/>
      <c r="J627" s="169"/>
      <c r="K627" s="48"/>
      <c r="L627" s="93"/>
      <c r="M627" s="94"/>
    </row>
    <row r="628" ht="40.5" customHeight="1">
      <c r="A628" s="27"/>
      <c r="B628" s="29"/>
      <c r="C628" s="166"/>
      <c r="D628" s="93"/>
      <c r="E628" s="166"/>
      <c r="F628" s="167"/>
      <c r="G628" s="168"/>
      <c r="H628" s="167"/>
      <c r="I628" s="41"/>
      <c r="J628" s="169"/>
      <c r="K628" s="48"/>
      <c r="L628" s="93"/>
      <c r="M628" s="94"/>
    </row>
    <row r="629" ht="40.5" customHeight="1">
      <c r="A629" s="27"/>
      <c r="B629" s="29"/>
      <c r="C629" s="166"/>
      <c r="D629" s="93"/>
      <c r="E629" s="166"/>
      <c r="F629" s="167"/>
      <c r="G629" s="168"/>
      <c r="H629" s="167"/>
      <c r="I629" s="41"/>
      <c r="J629" s="169"/>
      <c r="K629" s="48"/>
      <c r="L629" s="93"/>
      <c r="M629" s="94"/>
    </row>
    <row r="630" ht="40.5" customHeight="1">
      <c r="A630" s="27"/>
      <c r="B630" s="29"/>
      <c r="C630" s="166"/>
      <c r="D630" s="93"/>
      <c r="E630" s="166"/>
      <c r="F630" s="167"/>
      <c r="G630" s="168"/>
      <c r="H630" s="167"/>
      <c r="I630" s="41"/>
      <c r="J630" s="169"/>
      <c r="K630" s="48"/>
      <c r="L630" s="93"/>
      <c r="M630" s="94"/>
    </row>
    <row r="631" ht="40.5" customHeight="1">
      <c r="A631" s="27"/>
      <c r="B631" s="29"/>
      <c r="C631" s="166"/>
      <c r="D631" s="93"/>
      <c r="E631" s="166"/>
      <c r="F631" s="167"/>
      <c r="G631" s="168"/>
      <c r="H631" s="167"/>
      <c r="I631" s="41"/>
      <c r="J631" s="169"/>
      <c r="K631" s="48"/>
      <c r="L631" s="93"/>
      <c r="M631" s="94"/>
    </row>
    <row r="632" ht="40.5" customHeight="1">
      <c r="A632" s="27"/>
      <c r="B632" s="29"/>
      <c r="C632" s="166"/>
      <c r="D632" s="93"/>
      <c r="E632" s="166"/>
      <c r="F632" s="167"/>
      <c r="G632" s="168"/>
      <c r="H632" s="167"/>
      <c r="I632" s="41"/>
      <c r="J632" s="169"/>
      <c r="K632" s="48"/>
      <c r="L632" s="93"/>
      <c r="M632" s="94"/>
    </row>
    <row r="633" ht="40.5" customHeight="1">
      <c r="A633" s="27"/>
      <c r="B633" s="29"/>
      <c r="C633" s="166"/>
      <c r="D633" s="93"/>
      <c r="E633" s="166"/>
      <c r="F633" s="167"/>
      <c r="G633" s="168"/>
      <c r="H633" s="167"/>
      <c r="I633" s="41"/>
      <c r="J633" s="169"/>
      <c r="K633" s="48"/>
      <c r="L633" s="93"/>
      <c r="M633" s="94"/>
    </row>
    <row r="634" ht="40.5" customHeight="1">
      <c r="A634" s="27"/>
      <c r="B634" s="29"/>
      <c r="C634" s="166"/>
      <c r="D634" s="93"/>
      <c r="E634" s="166"/>
      <c r="F634" s="167"/>
      <c r="G634" s="168"/>
      <c r="H634" s="167"/>
      <c r="I634" s="41"/>
      <c r="J634" s="169"/>
      <c r="K634" s="48"/>
      <c r="L634" s="93"/>
      <c r="M634" s="94"/>
    </row>
    <row r="635" ht="40.5" customHeight="1">
      <c r="A635" s="27"/>
      <c r="B635" s="29"/>
      <c r="C635" s="166"/>
      <c r="D635" s="93"/>
      <c r="E635" s="166"/>
      <c r="F635" s="167"/>
      <c r="G635" s="168"/>
      <c r="H635" s="167"/>
      <c r="I635" s="41"/>
      <c r="J635" s="169"/>
      <c r="K635" s="48"/>
      <c r="L635" s="93"/>
      <c r="M635" s="94"/>
    </row>
    <row r="636" ht="40.5" customHeight="1">
      <c r="A636" s="27"/>
      <c r="B636" s="29"/>
      <c r="C636" s="166"/>
      <c r="D636" s="93"/>
      <c r="E636" s="166"/>
      <c r="F636" s="167"/>
      <c r="G636" s="168"/>
      <c r="H636" s="167"/>
      <c r="I636" s="41"/>
      <c r="J636" s="169"/>
      <c r="K636" s="48"/>
      <c r="L636" s="93"/>
      <c r="M636" s="94"/>
    </row>
    <row r="637" ht="40.5" customHeight="1">
      <c r="A637" s="27"/>
      <c r="B637" s="29"/>
      <c r="C637" s="166"/>
      <c r="D637" s="93"/>
      <c r="E637" s="166"/>
      <c r="F637" s="167"/>
      <c r="G637" s="168"/>
      <c r="H637" s="167"/>
      <c r="I637" s="41"/>
      <c r="J637" s="169"/>
      <c r="K637" s="48"/>
      <c r="L637" s="93"/>
      <c r="M637" s="94"/>
    </row>
    <row r="638" ht="40.5" customHeight="1">
      <c r="A638" s="27"/>
      <c r="B638" s="29"/>
      <c r="C638" s="166"/>
      <c r="D638" s="93"/>
      <c r="E638" s="166"/>
      <c r="F638" s="167"/>
      <c r="G638" s="168"/>
      <c r="H638" s="167"/>
      <c r="I638" s="41"/>
      <c r="J638" s="169"/>
      <c r="K638" s="48"/>
      <c r="L638" s="93"/>
      <c r="M638" s="94"/>
    </row>
    <row r="639" ht="40.5" customHeight="1">
      <c r="A639" s="27"/>
      <c r="B639" s="29"/>
      <c r="C639" s="166"/>
      <c r="D639" s="93"/>
      <c r="E639" s="166"/>
      <c r="F639" s="167"/>
      <c r="G639" s="168"/>
      <c r="H639" s="167"/>
      <c r="I639" s="41"/>
      <c r="J639" s="169"/>
      <c r="K639" s="48"/>
      <c r="L639" s="93"/>
      <c r="M639" s="94"/>
    </row>
    <row r="640" ht="40.5" customHeight="1">
      <c r="A640" s="27"/>
      <c r="B640" s="29"/>
      <c r="C640" s="166"/>
      <c r="D640" s="93"/>
      <c r="E640" s="166"/>
      <c r="F640" s="167"/>
      <c r="G640" s="168"/>
      <c r="H640" s="167"/>
      <c r="I640" s="41"/>
      <c r="J640" s="169"/>
      <c r="K640" s="48"/>
      <c r="L640" s="93"/>
      <c r="M640" s="94"/>
    </row>
    <row r="641" ht="40.5" customHeight="1">
      <c r="A641" s="27"/>
      <c r="B641" s="29"/>
      <c r="C641" s="166"/>
      <c r="D641" s="93"/>
      <c r="E641" s="166"/>
      <c r="F641" s="167"/>
      <c r="G641" s="168"/>
      <c r="H641" s="167"/>
      <c r="I641" s="41"/>
      <c r="J641" s="169"/>
      <c r="K641" s="48"/>
      <c r="L641" s="93"/>
      <c r="M641" s="94"/>
    </row>
    <row r="642" ht="40.5" customHeight="1">
      <c r="A642" s="27"/>
      <c r="B642" s="29"/>
      <c r="C642" s="166"/>
      <c r="D642" s="93"/>
      <c r="E642" s="166"/>
      <c r="F642" s="167"/>
      <c r="G642" s="168"/>
      <c r="H642" s="167"/>
      <c r="I642" s="41"/>
      <c r="J642" s="169"/>
      <c r="K642" s="48"/>
      <c r="L642" s="93"/>
      <c r="M642" s="94"/>
    </row>
    <row r="643" ht="40.5" customHeight="1">
      <c r="A643" s="27"/>
      <c r="B643" s="29"/>
      <c r="C643" s="166"/>
      <c r="D643" s="93"/>
      <c r="E643" s="166"/>
      <c r="F643" s="167"/>
      <c r="G643" s="168"/>
      <c r="H643" s="167"/>
      <c r="I643" s="41"/>
      <c r="J643" s="169"/>
      <c r="K643" s="48"/>
      <c r="L643" s="93"/>
      <c r="M643" s="94"/>
    </row>
    <row r="644" ht="40.5" customHeight="1">
      <c r="A644" s="27"/>
      <c r="B644" s="29"/>
      <c r="C644" s="166"/>
      <c r="D644" s="93"/>
      <c r="E644" s="166"/>
      <c r="F644" s="167"/>
      <c r="G644" s="168"/>
      <c r="H644" s="167"/>
      <c r="I644" s="41"/>
      <c r="J644" s="169"/>
      <c r="K644" s="48"/>
      <c r="L644" s="93"/>
      <c r="M644" s="94"/>
    </row>
    <row r="645" ht="40.5" customHeight="1">
      <c r="A645" s="27"/>
      <c r="B645" s="29"/>
      <c r="C645" s="166"/>
      <c r="D645" s="93"/>
      <c r="E645" s="166"/>
      <c r="F645" s="167"/>
      <c r="G645" s="168"/>
      <c r="H645" s="167"/>
      <c r="I645" s="41"/>
      <c r="J645" s="169"/>
      <c r="K645" s="48"/>
      <c r="L645" s="93"/>
      <c r="M645" s="94"/>
    </row>
    <row r="646" ht="40.5" customHeight="1">
      <c r="A646" s="27"/>
      <c r="B646" s="29"/>
      <c r="C646" s="166"/>
      <c r="D646" s="93"/>
      <c r="E646" s="166"/>
      <c r="F646" s="167"/>
      <c r="G646" s="168"/>
      <c r="H646" s="167"/>
      <c r="I646" s="41"/>
      <c r="J646" s="169"/>
      <c r="K646" s="48"/>
      <c r="L646" s="93"/>
      <c r="M646" s="94"/>
    </row>
    <row r="647" ht="40.5" customHeight="1">
      <c r="A647" s="27"/>
      <c r="B647" s="29"/>
      <c r="C647" s="166"/>
      <c r="D647" s="93"/>
      <c r="E647" s="166"/>
      <c r="F647" s="167"/>
      <c r="G647" s="168"/>
      <c r="H647" s="167"/>
      <c r="I647" s="41"/>
      <c r="J647" s="169"/>
      <c r="K647" s="48"/>
      <c r="L647" s="93"/>
      <c r="M647" s="94"/>
    </row>
    <row r="648" ht="40.5" customHeight="1">
      <c r="A648" s="27"/>
      <c r="B648" s="29"/>
      <c r="C648" s="166"/>
      <c r="D648" s="93"/>
      <c r="E648" s="166"/>
      <c r="F648" s="167"/>
      <c r="G648" s="168"/>
      <c r="H648" s="167"/>
      <c r="I648" s="41"/>
      <c r="J648" s="169"/>
      <c r="K648" s="48"/>
      <c r="L648" s="93"/>
      <c r="M648" s="94"/>
    </row>
    <row r="649" ht="40.5" customHeight="1">
      <c r="A649" s="27"/>
      <c r="B649" s="29"/>
      <c r="C649" s="166"/>
      <c r="D649" s="93"/>
      <c r="E649" s="166"/>
      <c r="F649" s="167"/>
      <c r="G649" s="168"/>
      <c r="H649" s="167"/>
      <c r="I649" s="41"/>
      <c r="J649" s="169"/>
      <c r="K649" s="48"/>
      <c r="L649" s="93"/>
      <c r="M649" s="94"/>
    </row>
    <row r="650" ht="40.5" customHeight="1">
      <c r="A650" s="27"/>
      <c r="B650" s="29"/>
      <c r="C650" s="166"/>
      <c r="D650" s="93"/>
      <c r="E650" s="166"/>
      <c r="F650" s="167"/>
      <c r="G650" s="168"/>
      <c r="H650" s="167"/>
      <c r="I650" s="41"/>
      <c r="J650" s="169"/>
      <c r="K650" s="48"/>
      <c r="L650" s="93"/>
      <c r="M650" s="94"/>
    </row>
    <row r="651" ht="40.5" customHeight="1">
      <c r="A651" s="27"/>
      <c r="B651" s="29"/>
      <c r="C651" s="166"/>
      <c r="D651" s="93"/>
      <c r="E651" s="166"/>
      <c r="F651" s="167"/>
      <c r="G651" s="168"/>
      <c r="H651" s="167"/>
      <c r="I651" s="41"/>
      <c r="J651" s="169"/>
      <c r="K651" s="48"/>
      <c r="L651" s="93"/>
      <c r="M651" s="94"/>
    </row>
    <row r="652" ht="40.5" customHeight="1">
      <c r="A652" s="27"/>
      <c r="B652" s="29"/>
      <c r="C652" s="166"/>
      <c r="D652" s="93"/>
      <c r="E652" s="166"/>
      <c r="F652" s="167"/>
      <c r="G652" s="168"/>
      <c r="H652" s="167"/>
      <c r="I652" s="41"/>
      <c r="J652" s="169"/>
      <c r="K652" s="48"/>
      <c r="L652" s="93"/>
      <c r="M652" s="94"/>
    </row>
    <row r="653" ht="40.5" customHeight="1">
      <c r="A653" s="27"/>
      <c r="B653" s="29"/>
      <c r="C653" s="166"/>
      <c r="D653" s="93"/>
      <c r="E653" s="166"/>
      <c r="F653" s="167"/>
      <c r="G653" s="168"/>
      <c r="H653" s="167"/>
      <c r="I653" s="41"/>
      <c r="J653" s="169"/>
      <c r="K653" s="48"/>
      <c r="L653" s="93"/>
      <c r="M653" s="94"/>
    </row>
    <row r="654" ht="40.5" customHeight="1">
      <c r="A654" s="27"/>
      <c r="B654" s="29"/>
      <c r="C654" s="166"/>
      <c r="D654" s="93"/>
      <c r="E654" s="166"/>
      <c r="F654" s="167"/>
      <c r="G654" s="168"/>
      <c r="H654" s="167"/>
      <c r="I654" s="41"/>
      <c r="J654" s="169"/>
      <c r="K654" s="48"/>
      <c r="L654" s="93"/>
      <c r="M654" s="94"/>
    </row>
    <row r="655" ht="40.5" customHeight="1">
      <c r="A655" s="27"/>
      <c r="B655" s="29"/>
      <c r="C655" s="166"/>
      <c r="D655" s="93"/>
      <c r="E655" s="166"/>
      <c r="F655" s="167"/>
      <c r="G655" s="168"/>
      <c r="H655" s="167"/>
      <c r="I655" s="41"/>
      <c r="J655" s="169"/>
      <c r="K655" s="48"/>
      <c r="L655" s="93"/>
      <c r="M655" s="94"/>
    </row>
    <row r="656" ht="40.5" customHeight="1">
      <c r="A656" s="27"/>
      <c r="B656" s="29"/>
      <c r="C656" s="166"/>
      <c r="D656" s="93"/>
      <c r="E656" s="166"/>
      <c r="F656" s="167"/>
      <c r="G656" s="168"/>
      <c r="H656" s="167"/>
      <c r="I656" s="41"/>
      <c r="J656" s="169"/>
      <c r="K656" s="48"/>
      <c r="L656" s="93"/>
      <c r="M656" s="94"/>
    </row>
    <row r="657" ht="40.5" customHeight="1">
      <c r="A657" s="27"/>
      <c r="B657" s="29"/>
      <c r="C657" s="166"/>
      <c r="D657" s="93"/>
      <c r="E657" s="166"/>
      <c r="F657" s="167"/>
      <c r="G657" s="168"/>
      <c r="H657" s="167"/>
      <c r="I657" s="41"/>
      <c r="J657" s="169"/>
      <c r="K657" s="48"/>
      <c r="L657" s="93"/>
      <c r="M657" s="94"/>
    </row>
    <row r="658" ht="40.5" customHeight="1">
      <c r="A658" s="27"/>
      <c r="B658" s="29"/>
      <c r="C658" s="166"/>
      <c r="D658" s="93"/>
      <c r="E658" s="166"/>
      <c r="F658" s="167"/>
      <c r="G658" s="168"/>
      <c r="H658" s="167"/>
      <c r="I658" s="41"/>
      <c r="J658" s="169"/>
      <c r="K658" s="48"/>
      <c r="L658" s="93"/>
      <c r="M658" s="94"/>
    </row>
    <row r="659" ht="40.5" customHeight="1">
      <c r="A659" s="27"/>
      <c r="B659" s="29"/>
      <c r="C659" s="166"/>
      <c r="D659" s="93"/>
      <c r="E659" s="166"/>
      <c r="F659" s="167"/>
      <c r="G659" s="168"/>
      <c r="H659" s="167"/>
      <c r="I659" s="41"/>
      <c r="J659" s="169"/>
      <c r="K659" s="48"/>
      <c r="L659" s="93"/>
      <c r="M659" s="94"/>
    </row>
    <row r="660" ht="40.5" customHeight="1">
      <c r="A660" s="27"/>
      <c r="B660" s="29"/>
      <c r="C660" s="166"/>
      <c r="D660" s="93"/>
      <c r="E660" s="166"/>
      <c r="F660" s="167"/>
      <c r="G660" s="168"/>
      <c r="H660" s="167"/>
      <c r="I660" s="41"/>
      <c r="J660" s="169"/>
      <c r="K660" s="48"/>
      <c r="L660" s="93"/>
      <c r="M660" s="94"/>
    </row>
    <row r="661" ht="40.5" customHeight="1">
      <c r="A661" s="27"/>
      <c r="B661" s="29"/>
      <c r="C661" s="166"/>
      <c r="D661" s="93"/>
      <c r="E661" s="166"/>
      <c r="F661" s="167"/>
      <c r="G661" s="168"/>
      <c r="H661" s="167"/>
      <c r="I661" s="41"/>
      <c r="J661" s="169"/>
      <c r="K661" s="48"/>
      <c r="L661" s="93"/>
      <c r="M661" s="94"/>
    </row>
    <row r="662" ht="40.5" customHeight="1">
      <c r="A662" s="27"/>
      <c r="B662" s="29"/>
      <c r="C662" s="166"/>
      <c r="D662" s="93"/>
      <c r="E662" s="166"/>
      <c r="F662" s="167"/>
      <c r="G662" s="168"/>
      <c r="H662" s="167"/>
      <c r="I662" s="41"/>
      <c r="J662" s="169"/>
      <c r="K662" s="48"/>
      <c r="L662" s="93"/>
      <c r="M662" s="94"/>
    </row>
    <row r="663" ht="40.5" customHeight="1">
      <c r="A663" s="27"/>
      <c r="B663" s="29"/>
      <c r="C663" s="166"/>
      <c r="D663" s="93"/>
      <c r="E663" s="166"/>
      <c r="F663" s="167"/>
      <c r="G663" s="168"/>
      <c r="H663" s="167"/>
      <c r="I663" s="41"/>
      <c r="J663" s="169"/>
      <c r="K663" s="48"/>
      <c r="L663" s="93"/>
      <c r="M663" s="94"/>
    </row>
    <row r="664" ht="40.5" customHeight="1">
      <c r="A664" s="27"/>
      <c r="B664" s="29"/>
      <c r="C664" s="166"/>
      <c r="D664" s="93"/>
      <c r="E664" s="166"/>
      <c r="F664" s="167"/>
      <c r="G664" s="168"/>
      <c r="H664" s="167"/>
      <c r="I664" s="41"/>
      <c r="J664" s="169"/>
      <c r="K664" s="48"/>
      <c r="L664" s="93"/>
      <c r="M664" s="94"/>
    </row>
    <row r="665" ht="40.5" customHeight="1">
      <c r="A665" s="27"/>
      <c r="B665" s="29"/>
      <c r="C665" s="166"/>
      <c r="D665" s="93"/>
      <c r="E665" s="166"/>
      <c r="F665" s="167"/>
      <c r="G665" s="168"/>
      <c r="H665" s="167"/>
      <c r="I665" s="41"/>
      <c r="J665" s="169"/>
      <c r="K665" s="48"/>
      <c r="L665" s="93"/>
      <c r="M665" s="94"/>
    </row>
    <row r="666" ht="40.5" customHeight="1">
      <c r="A666" s="27"/>
      <c r="B666" s="29"/>
      <c r="C666" s="166"/>
      <c r="D666" s="93"/>
      <c r="E666" s="166"/>
      <c r="F666" s="167"/>
      <c r="G666" s="168"/>
      <c r="H666" s="167"/>
      <c r="I666" s="41"/>
      <c r="J666" s="169"/>
      <c r="K666" s="48"/>
      <c r="L666" s="93"/>
      <c r="M666" s="94"/>
    </row>
    <row r="667" ht="40.5" customHeight="1">
      <c r="A667" s="27"/>
      <c r="B667" s="29"/>
      <c r="C667" s="166"/>
      <c r="D667" s="93"/>
      <c r="E667" s="166"/>
      <c r="F667" s="167"/>
      <c r="G667" s="168"/>
      <c r="H667" s="167"/>
      <c r="I667" s="41"/>
      <c r="J667" s="169"/>
      <c r="K667" s="48"/>
      <c r="L667" s="93"/>
      <c r="M667" s="94"/>
    </row>
    <row r="668" ht="40.5" customHeight="1">
      <c r="A668" s="27"/>
      <c r="B668" s="29"/>
      <c r="C668" s="166"/>
      <c r="D668" s="93"/>
      <c r="E668" s="166"/>
      <c r="F668" s="167"/>
      <c r="G668" s="168"/>
      <c r="H668" s="167"/>
      <c r="I668" s="41"/>
      <c r="J668" s="169"/>
      <c r="K668" s="48"/>
      <c r="L668" s="93"/>
      <c r="M668" s="94"/>
    </row>
    <row r="669" ht="40.5" customHeight="1">
      <c r="A669" s="27"/>
      <c r="B669" s="29"/>
      <c r="C669" s="166"/>
      <c r="D669" s="93"/>
      <c r="E669" s="166"/>
      <c r="F669" s="167"/>
      <c r="G669" s="168"/>
      <c r="H669" s="167"/>
      <c r="I669" s="41"/>
      <c r="J669" s="169"/>
      <c r="K669" s="48"/>
      <c r="L669" s="93"/>
      <c r="M669" s="94"/>
    </row>
    <row r="670" ht="40.5" customHeight="1">
      <c r="A670" s="27"/>
      <c r="B670" s="29"/>
      <c r="C670" s="166"/>
      <c r="D670" s="93"/>
      <c r="E670" s="166"/>
      <c r="F670" s="167"/>
      <c r="G670" s="168"/>
      <c r="H670" s="167"/>
      <c r="I670" s="41"/>
      <c r="J670" s="169"/>
      <c r="K670" s="48"/>
      <c r="L670" s="93"/>
      <c r="M670" s="94"/>
    </row>
    <row r="671" ht="40.5" customHeight="1">
      <c r="A671" s="27"/>
      <c r="B671" s="29"/>
      <c r="C671" s="166"/>
      <c r="D671" s="93"/>
      <c r="E671" s="166"/>
      <c r="F671" s="167"/>
      <c r="G671" s="168"/>
      <c r="H671" s="167"/>
      <c r="I671" s="41"/>
      <c r="J671" s="169"/>
      <c r="K671" s="48"/>
      <c r="L671" s="93"/>
      <c r="M671" s="94"/>
    </row>
    <row r="672" ht="40.5" customHeight="1">
      <c r="A672" s="27"/>
      <c r="B672" s="29"/>
      <c r="C672" s="166"/>
      <c r="D672" s="93"/>
      <c r="E672" s="166"/>
      <c r="F672" s="167"/>
      <c r="G672" s="168"/>
      <c r="H672" s="167"/>
      <c r="I672" s="41"/>
      <c r="J672" s="169"/>
      <c r="K672" s="48"/>
      <c r="L672" s="93"/>
      <c r="M672" s="94"/>
    </row>
    <row r="673" ht="40.5" customHeight="1">
      <c r="A673" s="27"/>
      <c r="B673" s="29"/>
      <c r="C673" s="166"/>
      <c r="D673" s="93"/>
      <c r="E673" s="166"/>
      <c r="F673" s="167"/>
      <c r="G673" s="168"/>
      <c r="H673" s="167"/>
      <c r="I673" s="41"/>
      <c r="J673" s="169"/>
      <c r="K673" s="48"/>
      <c r="L673" s="93"/>
      <c r="M673" s="94"/>
    </row>
    <row r="674" ht="40.5" customHeight="1">
      <c r="A674" s="27"/>
      <c r="B674" s="29"/>
      <c r="C674" s="166"/>
      <c r="D674" s="93"/>
      <c r="E674" s="166"/>
      <c r="F674" s="167"/>
      <c r="G674" s="168"/>
      <c r="H674" s="167"/>
      <c r="I674" s="41"/>
      <c r="J674" s="169"/>
      <c r="K674" s="48"/>
      <c r="L674" s="93"/>
      <c r="M674" s="94"/>
    </row>
    <row r="675" ht="40.5" customHeight="1">
      <c r="A675" s="27"/>
      <c r="B675" s="29"/>
      <c r="C675" s="166"/>
      <c r="D675" s="93"/>
      <c r="E675" s="166"/>
      <c r="F675" s="167"/>
      <c r="G675" s="168"/>
      <c r="H675" s="167"/>
      <c r="I675" s="41"/>
      <c r="J675" s="169"/>
      <c r="K675" s="48"/>
      <c r="L675" s="93"/>
      <c r="M675" s="94"/>
    </row>
    <row r="676" ht="40.5" customHeight="1">
      <c r="A676" s="27"/>
      <c r="B676" s="29"/>
      <c r="C676" s="166"/>
      <c r="D676" s="93"/>
      <c r="E676" s="166"/>
      <c r="F676" s="167"/>
      <c r="G676" s="168"/>
      <c r="H676" s="167"/>
      <c r="I676" s="41"/>
      <c r="J676" s="169"/>
      <c r="K676" s="48"/>
      <c r="L676" s="93"/>
      <c r="M676" s="94"/>
    </row>
    <row r="677" ht="40.5" customHeight="1">
      <c r="A677" s="27"/>
      <c r="B677" s="29"/>
      <c r="C677" s="166"/>
      <c r="D677" s="93"/>
      <c r="E677" s="166"/>
      <c r="F677" s="167"/>
      <c r="G677" s="168"/>
      <c r="H677" s="167"/>
      <c r="I677" s="41"/>
      <c r="J677" s="169"/>
      <c r="K677" s="48"/>
      <c r="L677" s="93"/>
      <c r="M677" s="94"/>
    </row>
    <row r="678" ht="40.5" customHeight="1">
      <c r="A678" s="27"/>
      <c r="B678" s="29"/>
      <c r="C678" s="166"/>
      <c r="D678" s="93"/>
      <c r="E678" s="166"/>
      <c r="F678" s="167"/>
      <c r="G678" s="168"/>
      <c r="H678" s="167"/>
      <c r="I678" s="41"/>
      <c r="J678" s="169"/>
      <c r="K678" s="48"/>
      <c r="L678" s="93"/>
      <c r="M678" s="94"/>
    </row>
    <row r="679" ht="40.5" customHeight="1">
      <c r="A679" s="27"/>
      <c r="B679" s="29"/>
      <c r="C679" s="166"/>
      <c r="D679" s="93"/>
      <c r="E679" s="166"/>
      <c r="F679" s="167"/>
      <c r="G679" s="168"/>
      <c r="H679" s="167"/>
      <c r="I679" s="41"/>
      <c r="J679" s="169"/>
      <c r="K679" s="48"/>
      <c r="L679" s="93"/>
      <c r="M679" s="94"/>
    </row>
    <row r="680" ht="40.5" customHeight="1">
      <c r="A680" s="27"/>
      <c r="B680" s="29"/>
      <c r="C680" s="166"/>
      <c r="D680" s="93"/>
      <c r="E680" s="166"/>
      <c r="F680" s="167"/>
      <c r="G680" s="168"/>
      <c r="H680" s="167"/>
      <c r="I680" s="41"/>
      <c r="J680" s="169"/>
      <c r="K680" s="48"/>
      <c r="L680" s="93"/>
      <c r="M680" s="94"/>
    </row>
    <row r="681" ht="40.5" customHeight="1">
      <c r="A681" s="27"/>
      <c r="B681" s="29"/>
      <c r="C681" s="166"/>
      <c r="D681" s="93"/>
      <c r="E681" s="166"/>
      <c r="F681" s="167"/>
      <c r="G681" s="168"/>
      <c r="H681" s="167"/>
      <c r="I681" s="41"/>
      <c r="J681" s="169"/>
      <c r="K681" s="48"/>
      <c r="L681" s="93"/>
      <c r="M681" s="94"/>
    </row>
    <row r="682" ht="40.5" customHeight="1">
      <c r="A682" s="27"/>
      <c r="B682" s="29"/>
      <c r="C682" s="166"/>
      <c r="D682" s="93"/>
      <c r="E682" s="166"/>
      <c r="F682" s="167"/>
      <c r="G682" s="168"/>
      <c r="H682" s="167"/>
      <c r="I682" s="41"/>
      <c r="J682" s="169"/>
      <c r="K682" s="48"/>
      <c r="L682" s="93"/>
      <c r="M682" s="94"/>
    </row>
    <row r="683" ht="40.5" customHeight="1">
      <c r="A683" s="27"/>
      <c r="B683" s="29"/>
      <c r="C683" s="166"/>
      <c r="D683" s="93"/>
      <c r="E683" s="166"/>
      <c r="F683" s="167"/>
      <c r="G683" s="168"/>
      <c r="H683" s="167"/>
      <c r="I683" s="41"/>
      <c r="J683" s="169"/>
      <c r="K683" s="48"/>
      <c r="L683" s="93"/>
      <c r="M683" s="94"/>
    </row>
    <row r="684" ht="40.5" customHeight="1">
      <c r="A684" s="27"/>
      <c r="B684" s="29"/>
      <c r="C684" s="166"/>
      <c r="D684" s="93"/>
      <c r="E684" s="166"/>
      <c r="F684" s="167"/>
      <c r="G684" s="168"/>
      <c r="H684" s="167"/>
      <c r="I684" s="41"/>
      <c r="J684" s="169"/>
      <c r="K684" s="48"/>
      <c r="L684" s="93"/>
      <c r="M684" s="94"/>
    </row>
    <row r="685" ht="40.5" customHeight="1">
      <c r="A685" s="27"/>
      <c r="B685" s="29"/>
      <c r="C685" s="166"/>
      <c r="D685" s="93"/>
      <c r="E685" s="166"/>
      <c r="F685" s="167"/>
      <c r="G685" s="168"/>
      <c r="H685" s="167"/>
      <c r="I685" s="41"/>
      <c r="J685" s="169"/>
      <c r="K685" s="48"/>
      <c r="L685" s="93"/>
      <c r="M685" s="94"/>
    </row>
    <row r="686" ht="40.5" customHeight="1">
      <c r="A686" s="27"/>
      <c r="B686" s="29"/>
      <c r="C686" s="166"/>
      <c r="D686" s="93"/>
      <c r="E686" s="166"/>
      <c r="F686" s="167"/>
      <c r="G686" s="168"/>
      <c r="H686" s="167"/>
      <c r="I686" s="41"/>
      <c r="J686" s="169"/>
      <c r="K686" s="48"/>
      <c r="L686" s="93"/>
      <c r="M686" s="94"/>
    </row>
    <row r="687" ht="40.5" customHeight="1">
      <c r="A687" s="27"/>
      <c r="B687" s="29"/>
      <c r="C687" s="166"/>
      <c r="D687" s="93"/>
      <c r="E687" s="166"/>
      <c r="F687" s="167"/>
      <c r="G687" s="168"/>
      <c r="H687" s="167"/>
      <c r="I687" s="41"/>
      <c r="J687" s="169"/>
      <c r="K687" s="48"/>
      <c r="L687" s="93"/>
      <c r="M687" s="94"/>
    </row>
    <row r="688" ht="40.5" customHeight="1">
      <c r="A688" s="27"/>
      <c r="B688" s="29"/>
      <c r="C688" s="166"/>
      <c r="D688" s="93"/>
      <c r="E688" s="166"/>
      <c r="F688" s="167"/>
      <c r="G688" s="168"/>
      <c r="H688" s="167"/>
      <c r="I688" s="41"/>
      <c r="J688" s="169"/>
      <c r="K688" s="48"/>
      <c r="L688" s="93"/>
      <c r="M688" s="94"/>
    </row>
    <row r="689" ht="40.5" customHeight="1">
      <c r="A689" s="27"/>
      <c r="B689" s="29"/>
      <c r="C689" s="166"/>
      <c r="D689" s="93"/>
      <c r="E689" s="166"/>
      <c r="F689" s="167"/>
      <c r="G689" s="168"/>
      <c r="H689" s="167"/>
      <c r="I689" s="41"/>
      <c r="J689" s="169"/>
      <c r="K689" s="48"/>
      <c r="L689" s="93"/>
      <c r="M689" s="94"/>
    </row>
    <row r="690" ht="40.5" customHeight="1">
      <c r="A690" s="27"/>
      <c r="B690" s="29"/>
      <c r="C690" s="166"/>
      <c r="D690" s="93"/>
      <c r="E690" s="166"/>
      <c r="F690" s="167"/>
      <c r="G690" s="168"/>
      <c r="H690" s="167"/>
      <c r="I690" s="41"/>
      <c r="J690" s="169"/>
      <c r="K690" s="48"/>
      <c r="L690" s="93"/>
      <c r="M690" s="94"/>
    </row>
    <row r="691" ht="40.5" customHeight="1">
      <c r="A691" s="27"/>
      <c r="B691" s="29"/>
      <c r="C691" s="166"/>
      <c r="D691" s="93"/>
      <c r="E691" s="166"/>
      <c r="F691" s="167"/>
      <c r="G691" s="168"/>
      <c r="H691" s="167"/>
      <c r="I691" s="41"/>
      <c r="J691" s="169"/>
      <c r="K691" s="48"/>
      <c r="L691" s="93"/>
      <c r="M691" s="94"/>
    </row>
    <row r="692" ht="40.5" customHeight="1">
      <c r="A692" s="27"/>
      <c r="B692" s="29"/>
      <c r="C692" s="166"/>
      <c r="D692" s="93"/>
      <c r="E692" s="166"/>
      <c r="F692" s="167"/>
      <c r="G692" s="168"/>
      <c r="H692" s="167"/>
      <c r="I692" s="41"/>
      <c r="J692" s="169"/>
      <c r="K692" s="48"/>
      <c r="L692" s="93"/>
      <c r="M692" s="94"/>
    </row>
    <row r="693" ht="40.5" customHeight="1">
      <c r="A693" s="27"/>
      <c r="B693" s="29"/>
      <c r="C693" s="166"/>
      <c r="D693" s="93"/>
      <c r="E693" s="166"/>
      <c r="F693" s="167"/>
      <c r="G693" s="168"/>
      <c r="H693" s="167"/>
      <c r="I693" s="41"/>
      <c r="J693" s="169"/>
      <c r="K693" s="48"/>
      <c r="L693" s="93"/>
      <c r="M693" s="94"/>
    </row>
    <row r="694" ht="40.5" customHeight="1">
      <c r="A694" s="27"/>
      <c r="B694" s="29"/>
      <c r="C694" s="166"/>
      <c r="D694" s="93"/>
      <c r="E694" s="166"/>
      <c r="F694" s="167"/>
      <c r="G694" s="168"/>
      <c r="H694" s="167"/>
      <c r="I694" s="41"/>
      <c r="J694" s="169"/>
      <c r="K694" s="48"/>
      <c r="L694" s="93"/>
      <c r="M694" s="94"/>
    </row>
    <row r="695" ht="40.5" customHeight="1">
      <c r="A695" s="27"/>
      <c r="B695" s="29"/>
      <c r="C695" s="166"/>
      <c r="D695" s="93"/>
      <c r="E695" s="166"/>
      <c r="F695" s="167"/>
      <c r="G695" s="168"/>
      <c r="H695" s="167"/>
      <c r="I695" s="41"/>
      <c r="J695" s="169"/>
      <c r="K695" s="48"/>
      <c r="L695" s="93"/>
      <c r="M695" s="94"/>
    </row>
    <row r="696" ht="40.5" customHeight="1">
      <c r="A696" s="27"/>
      <c r="B696" s="29"/>
      <c r="C696" s="166"/>
      <c r="D696" s="93"/>
      <c r="E696" s="166"/>
      <c r="F696" s="167"/>
      <c r="G696" s="168"/>
      <c r="H696" s="167"/>
      <c r="I696" s="41"/>
      <c r="J696" s="169"/>
      <c r="K696" s="48"/>
      <c r="L696" s="93"/>
      <c r="M696" s="94"/>
    </row>
    <row r="697" ht="40.5" customHeight="1">
      <c r="A697" s="27"/>
      <c r="B697" s="29"/>
      <c r="C697" s="166"/>
      <c r="D697" s="93"/>
      <c r="E697" s="166"/>
      <c r="F697" s="167"/>
      <c r="G697" s="168"/>
      <c r="H697" s="167"/>
      <c r="I697" s="41"/>
      <c r="J697" s="169"/>
      <c r="K697" s="48"/>
      <c r="L697" s="93"/>
      <c r="M697" s="94"/>
    </row>
    <row r="698" ht="40.5" customHeight="1">
      <c r="A698" s="27"/>
      <c r="B698" s="29"/>
      <c r="C698" s="166"/>
      <c r="D698" s="93"/>
      <c r="E698" s="166"/>
      <c r="F698" s="167"/>
      <c r="G698" s="168"/>
      <c r="H698" s="167"/>
      <c r="I698" s="41"/>
      <c r="J698" s="169"/>
      <c r="K698" s="48"/>
      <c r="L698" s="93"/>
      <c r="M698" s="94"/>
    </row>
    <row r="699" ht="40.5" customHeight="1">
      <c r="A699" s="27"/>
      <c r="B699" s="29"/>
      <c r="C699" s="166"/>
      <c r="D699" s="93"/>
      <c r="E699" s="166"/>
      <c r="F699" s="167"/>
      <c r="G699" s="168"/>
      <c r="H699" s="167"/>
      <c r="I699" s="41"/>
      <c r="J699" s="169"/>
      <c r="K699" s="48"/>
      <c r="L699" s="93"/>
      <c r="M699" s="94"/>
    </row>
    <row r="700" ht="40.5" customHeight="1">
      <c r="A700" s="27"/>
      <c r="B700" s="29"/>
      <c r="C700" s="166"/>
      <c r="D700" s="93"/>
      <c r="E700" s="166"/>
      <c r="F700" s="167"/>
      <c r="G700" s="168"/>
      <c r="H700" s="167"/>
      <c r="I700" s="41"/>
      <c r="J700" s="169"/>
      <c r="K700" s="48"/>
      <c r="L700" s="93"/>
      <c r="M700" s="94"/>
    </row>
    <row r="701" ht="40.5" customHeight="1">
      <c r="A701" s="27"/>
      <c r="B701" s="29"/>
      <c r="C701" s="166"/>
      <c r="D701" s="93"/>
      <c r="E701" s="166"/>
      <c r="F701" s="167"/>
      <c r="G701" s="168"/>
      <c r="H701" s="167"/>
      <c r="I701" s="41"/>
      <c r="J701" s="169"/>
      <c r="K701" s="48"/>
      <c r="L701" s="93"/>
      <c r="M701" s="94"/>
    </row>
    <row r="702" ht="40.5" customHeight="1">
      <c r="A702" s="27"/>
      <c r="B702" s="29"/>
      <c r="C702" s="166"/>
      <c r="D702" s="93"/>
      <c r="E702" s="166"/>
      <c r="F702" s="167"/>
      <c r="G702" s="168"/>
      <c r="H702" s="167"/>
      <c r="I702" s="41"/>
      <c r="J702" s="169"/>
      <c r="K702" s="48"/>
      <c r="L702" s="93"/>
      <c r="M702" s="94"/>
    </row>
    <row r="703" ht="40.5" customHeight="1">
      <c r="A703" s="27"/>
      <c r="B703" s="29"/>
      <c r="C703" s="166"/>
      <c r="D703" s="93"/>
      <c r="E703" s="166"/>
      <c r="F703" s="167"/>
      <c r="G703" s="168"/>
      <c r="H703" s="167"/>
      <c r="I703" s="41"/>
      <c r="J703" s="169"/>
      <c r="K703" s="48"/>
      <c r="L703" s="93"/>
      <c r="M703" s="94"/>
    </row>
    <row r="704" ht="40.5" customHeight="1">
      <c r="A704" s="27"/>
      <c r="B704" s="29"/>
      <c r="C704" s="166"/>
      <c r="D704" s="93"/>
      <c r="E704" s="166"/>
      <c r="F704" s="167"/>
      <c r="G704" s="168"/>
      <c r="H704" s="167"/>
      <c r="I704" s="41"/>
      <c r="J704" s="169"/>
      <c r="K704" s="48"/>
      <c r="L704" s="93"/>
      <c r="M704" s="94"/>
    </row>
    <row r="705" ht="40.5" customHeight="1">
      <c r="A705" s="27"/>
      <c r="B705" s="29"/>
      <c r="C705" s="166"/>
      <c r="D705" s="93"/>
      <c r="E705" s="166"/>
      <c r="F705" s="167"/>
      <c r="G705" s="168"/>
      <c r="H705" s="167"/>
      <c r="I705" s="41"/>
      <c r="J705" s="169"/>
      <c r="K705" s="48"/>
      <c r="L705" s="93"/>
      <c r="M705" s="94"/>
    </row>
    <row r="706" ht="40.5" customHeight="1">
      <c r="A706" s="27"/>
      <c r="B706" s="29"/>
      <c r="C706" s="166"/>
      <c r="D706" s="93"/>
      <c r="E706" s="166"/>
      <c r="F706" s="167"/>
      <c r="G706" s="168"/>
      <c r="H706" s="167"/>
      <c r="I706" s="41"/>
      <c r="J706" s="169"/>
      <c r="K706" s="48"/>
      <c r="L706" s="93"/>
      <c r="M706" s="94"/>
    </row>
    <row r="707" ht="40.5" customHeight="1">
      <c r="A707" s="27"/>
      <c r="B707" s="29"/>
      <c r="C707" s="166"/>
      <c r="D707" s="93"/>
      <c r="E707" s="166"/>
      <c r="F707" s="167"/>
      <c r="G707" s="168"/>
      <c r="H707" s="167"/>
      <c r="I707" s="41"/>
      <c r="J707" s="169"/>
      <c r="K707" s="48"/>
      <c r="L707" s="93"/>
      <c r="M707" s="94"/>
    </row>
    <row r="708" ht="40.5" customHeight="1">
      <c r="A708" s="27"/>
      <c r="B708" s="29"/>
      <c r="C708" s="166"/>
      <c r="D708" s="93"/>
      <c r="E708" s="166"/>
      <c r="F708" s="167"/>
      <c r="G708" s="168"/>
      <c r="H708" s="167"/>
      <c r="I708" s="41"/>
      <c r="J708" s="169"/>
      <c r="K708" s="48"/>
      <c r="L708" s="93"/>
      <c r="M708" s="94"/>
    </row>
    <row r="709" ht="40.5" customHeight="1">
      <c r="A709" s="27"/>
      <c r="B709" s="29"/>
      <c r="C709" s="166"/>
      <c r="D709" s="93"/>
      <c r="E709" s="166"/>
      <c r="F709" s="167"/>
      <c r="G709" s="168"/>
      <c r="H709" s="167"/>
      <c r="I709" s="41"/>
      <c r="J709" s="169"/>
      <c r="K709" s="48"/>
      <c r="L709" s="93"/>
      <c r="M709" s="94"/>
    </row>
    <row r="710" ht="40.5" customHeight="1">
      <c r="A710" s="27"/>
      <c r="B710" s="29"/>
      <c r="C710" s="166"/>
      <c r="D710" s="93"/>
      <c r="E710" s="166"/>
      <c r="F710" s="167"/>
      <c r="G710" s="168"/>
      <c r="H710" s="167"/>
      <c r="I710" s="41"/>
      <c r="J710" s="169"/>
      <c r="K710" s="48"/>
      <c r="L710" s="93"/>
      <c r="M710" s="94"/>
    </row>
    <row r="711" ht="40.5" customHeight="1">
      <c r="A711" s="27"/>
      <c r="B711" s="29"/>
      <c r="C711" s="166"/>
      <c r="D711" s="93"/>
      <c r="E711" s="166"/>
      <c r="F711" s="167"/>
      <c r="G711" s="168"/>
      <c r="H711" s="167"/>
      <c r="I711" s="41"/>
      <c r="J711" s="169"/>
      <c r="K711" s="48"/>
      <c r="L711" s="93"/>
      <c r="M711" s="94"/>
    </row>
    <row r="712" ht="40.5" customHeight="1">
      <c r="A712" s="27"/>
      <c r="B712" s="29"/>
      <c r="C712" s="166"/>
      <c r="D712" s="93"/>
      <c r="E712" s="166"/>
      <c r="F712" s="167"/>
      <c r="G712" s="168"/>
      <c r="H712" s="167"/>
      <c r="I712" s="41"/>
      <c r="J712" s="169"/>
      <c r="K712" s="48"/>
      <c r="L712" s="93"/>
      <c r="M712" s="94"/>
    </row>
    <row r="713" ht="40.5" customHeight="1">
      <c r="A713" s="27"/>
      <c r="B713" s="29"/>
      <c r="C713" s="166"/>
      <c r="D713" s="93"/>
      <c r="E713" s="166"/>
      <c r="F713" s="167"/>
      <c r="G713" s="168"/>
      <c r="H713" s="167"/>
      <c r="I713" s="41"/>
      <c r="J713" s="169"/>
      <c r="K713" s="48"/>
      <c r="L713" s="93"/>
      <c r="M713" s="94"/>
    </row>
    <row r="714" ht="40.5" customHeight="1">
      <c r="A714" s="27"/>
      <c r="B714" s="29"/>
      <c r="C714" s="166"/>
      <c r="D714" s="93"/>
      <c r="E714" s="166"/>
      <c r="F714" s="167"/>
      <c r="G714" s="168"/>
      <c r="H714" s="167"/>
      <c r="I714" s="41"/>
      <c r="J714" s="169"/>
      <c r="K714" s="48"/>
      <c r="L714" s="93"/>
      <c r="M714" s="94"/>
    </row>
    <row r="715" ht="40.5" customHeight="1">
      <c r="A715" s="27"/>
      <c r="B715" s="29"/>
      <c r="C715" s="166"/>
      <c r="D715" s="93"/>
      <c r="E715" s="166"/>
      <c r="F715" s="167"/>
      <c r="G715" s="168"/>
      <c r="H715" s="167"/>
      <c r="I715" s="41"/>
      <c r="J715" s="169"/>
      <c r="K715" s="48"/>
      <c r="L715" s="93"/>
      <c r="M715" s="94"/>
    </row>
    <row r="716" ht="40.5" customHeight="1">
      <c r="A716" s="27"/>
      <c r="B716" s="29"/>
      <c r="C716" s="166"/>
      <c r="D716" s="93"/>
      <c r="E716" s="166"/>
      <c r="F716" s="167"/>
      <c r="G716" s="168"/>
      <c r="H716" s="167"/>
      <c r="I716" s="41"/>
      <c r="J716" s="169"/>
      <c r="K716" s="48"/>
      <c r="L716" s="93"/>
      <c r="M716" s="94"/>
    </row>
    <row r="717" ht="40.5" customHeight="1">
      <c r="A717" s="27"/>
      <c r="B717" s="29"/>
      <c r="C717" s="166"/>
      <c r="D717" s="93"/>
      <c r="E717" s="166"/>
      <c r="F717" s="167"/>
      <c r="G717" s="168"/>
      <c r="H717" s="167"/>
      <c r="I717" s="41"/>
      <c r="J717" s="169"/>
      <c r="K717" s="48"/>
      <c r="L717" s="93"/>
      <c r="M717" s="94"/>
    </row>
    <row r="718" ht="40.5" customHeight="1">
      <c r="A718" s="27"/>
      <c r="B718" s="29"/>
      <c r="C718" s="166"/>
      <c r="D718" s="93"/>
      <c r="E718" s="166"/>
      <c r="F718" s="167"/>
      <c r="G718" s="168"/>
      <c r="H718" s="167"/>
      <c r="I718" s="41"/>
      <c r="J718" s="169"/>
      <c r="K718" s="48"/>
      <c r="L718" s="93"/>
      <c r="M718" s="94"/>
    </row>
    <row r="719" ht="40.5" customHeight="1">
      <c r="A719" s="27"/>
      <c r="B719" s="29"/>
      <c r="C719" s="166"/>
      <c r="D719" s="93"/>
      <c r="E719" s="166"/>
      <c r="F719" s="167"/>
      <c r="G719" s="168"/>
      <c r="H719" s="167"/>
      <c r="I719" s="41"/>
      <c r="J719" s="169"/>
      <c r="K719" s="48"/>
      <c r="L719" s="93"/>
      <c r="M719" s="94"/>
    </row>
    <row r="720" ht="40.5" customHeight="1">
      <c r="A720" s="27"/>
      <c r="B720" s="29"/>
      <c r="C720" s="166"/>
      <c r="D720" s="93"/>
      <c r="E720" s="166"/>
      <c r="F720" s="167"/>
      <c r="G720" s="168"/>
      <c r="H720" s="167"/>
      <c r="I720" s="41"/>
      <c r="J720" s="169"/>
      <c r="K720" s="48"/>
      <c r="L720" s="93"/>
      <c r="M720" s="94"/>
    </row>
    <row r="721" ht="40.5" customHeight="1">
      <c r="A721" s="27"/>
      <c r="B721" s="29"/>
      <c r="C721" s="166"/>
      <c r="D721" s="93"/>
      <c r="E721" s="166"/>
      <c r="F721" s="167"/>
      <c r="G721" s="168"/>
      <c r="H721" s="167"/>
      <c r="I721" s="41"/>
      <c r="J721" s="169"/>
      <c r="K721" s="48"/>
      <c r="L721" s="93"/>
      <c r="M721" s="94"/>
    </row>
    <row r="722" ht="40.5" customHeight="1">
      <c r="A722" s="27"/>
      <c r="B722" s="29"/>
      <c r="C722" s="166"/>
      <c r="D722" s="93"/>
      <c r="E722" s="166"/>
      <c r="F722" s="167"/>
      <c r="G722" s="168"/>
      <c r="H722" s="167"/>
      <c r="I722" s="41"/>
      <c r="J722" s="169"/>
      <c r="K722" s="48"/>
      <c r="L722" s="93"/>
      <c r="M722" s="94"/>
    </row>
    <row r="723" ht="40.5" customHeight="1">
      <c r="A723" s="27"/>
      <c r="B723" s="29"/>
      <c r="C723" s="166"/>
      <c r="D723" s="93"/>
      <c r="E723" s="166"/>
      <c r="F723" s="167"/>
      <c r="G723" s="168"/>
      <c r="H723" s="167"/>
      <c r="I723" s="41"/>
      <c r="J723" s="169"/>
      <c r="K723" s="48"/>
      <c r="L723" s="93"/>
      <c r="M723" s="94"/>
    </row>
    <row r="724" ht="40.5" customHeight="1">
      <c r="A724" s="27"/>
      <c r="B724" s="29"/>
      <c r="C724" s="166"/>
      <c r="D724" s="93"/>
      <c r="E724" s="166"/>
      <c r="F724" s="167"/>
      <c r="G724" s="168"/>
      <c r="H724" s="167"/>
      <c r="I724" s="41"/>
      <c r="J724" s="169"/>
      <c r="K724" s="48"/>
      <c r="L724" s="93"/>
      <c r="M724" s="94"/>
    </row>
    <row r="725" ht="40.5" customHeight="1">
      <c r="A725" s="27"/>
      <c r="B725" s="29"/>
      <c r="C725" s="166"/>
      <c r="D725" s="93"/>
      <c r="E725" s="166"/>
      <c r="F725" s="167"/>
      <c r="G725" s="168"/>
      <c r="H725" s="167"/>
      <c r="I725" s="41"/>
      <c r="J725" s="169"/>
      <c r="K725" s="48"/>
      <c r="L725" s="93"/>
      <c r="M725" s="94"/>
    </row>
    <row r="726" ht="40.5" customHeight="1">
      <c r="A726" s="27"/>
      <c r="B726" s="29"/>
      <c r="C726" s="166"/>
      <c r="D726" s="93"/>
      <c r="E726" s="166"/>
      <c r="F726" s="167"/>
      <c r="G726" s="168"/>
      <c r="H726" s="167"/>
      <c r="I726" s="41"/>
      <c r="J726" s="169"/>
      <c r="K726" s="48"/>
      <c r="L726" s="93"/>
      <c r="M726" s="94"/>
    </row>
    <row r="727" ht="40.5" customHeight="1">
      <c r="A727" s="27"/>
      <c r="B727" s="29"/>
      <c r="C727" s="166"/>
      <c r="D727" s="93"/>
      <c r="E727" s="166"/>
      <c r="F727" s="167"/>
      <c r="G727" s="168"/>
      <c r="H727" s="167"/>
      <c r="I727" s="41"/>
      <c r="J727" s="169"/>
      <c r="K727" s="48"/>
      <c r="L727" s="93"/>
      <c r="M727" s="94"/>
    </row>
    <row r="728" ht="40.5" customHeight="1">
      <c r="A728" s="27"/>
      <c r="B728" s="29"/>
      <c r="C728" s="166"/>
      <c r="D728" s="93"/>
      <c r="E728" s="166"/>
      <c r="F728" s="167"/>
      <c r="G728" s="168"/>
      <c r="H728" s="167"/>
      <c r="I728" s="41"/>
      <c r="J728" s="169"/>
      <c r="K728" s="48"/>
      <c r="L728" s="93"/>
      <c r="M728" s="94"/>
    </row>
    <row r="729" ht="40.5" customHeight="1">
      <c r="A729" s="27"/>
      <c r="B729" s="29"/>
      <c r="C729" s="166"/>
      <c r="D729" s="93"/>
      <c r="E729" s="166"/>
      <c r="F729" s="167"/>
      <c r="G729" s="168"/>
      <c r="H729" s="167"/>
      <c r="I729" s="41"/>
      <c r="J729" s="169"/>
      <c r="K729" s="48"/>
      <c r="L729" s="93"/>
      <c r="M729" s="94"/>
    </row>
    <row r="730" ht="40.5" customHeight="1">
      <c r="A730" s="27"/>
      <c r="B730" s="29"/>
      <c r="C730" s="166"/>
      <c r="D730" s="93"/>
      <c r="E730" s="166"/>
      <c r="F730" s="167"/>
      <c r="G730" s="168"/>
      <c r="H730" s="167"/>
      <c r="I730" s="41"/>
      <c r="J730" s="169"/>
      <c r="K730" s="48"/>
      <c r="L730" s="93"/>
      <c r="M730" s="94"/>
    </row>
    <row r="731" ht="40.5" customHeight="1">
      <c r="A731" s="27"/>
      <c r="B731" s="29"/>
      <c r="C731" s="166"/>
      <c r="D731" s="93"/>
      <c r="E731" s="166"/>
      <c r="F731" s="167"/>
      <c r="G731" s="168"/>
      <c r="H731" s="167"/>
      <c r="I731" s="41"/>
      <c r="J731" s="169"/>
      <c r="K731" s="48"/>
      <c r="L731" s="93"/>
      <c r="M731" s="94"/>
    </row>
    <row r="732" ht="40.5" customHeight="1">
      <c r="A732" s="27"/>
      <c r="B732" s="29"/>
      <c r="C732" s="166"/>
      <c r="D732" s="93"/>
      <c r="E732" s="166"/>
      <c r="F732" s="167"/>
      <c r="G732" s="168"/>
      <c r="H732" s="167"/>
      <c r="I732" s="41"/>
      <c r="J732" s="169"/>
      <c r="K732" s="48"/>
      <c r="L732" s="93"/>
      <c r="M732" s="94"/>
    </row>
    <row r="733" ht="40.5" customHeight="1">
      <c r="A733" s="27"/>
      <c r="B733" s="29"/>
      <c r="C733" s="166"/>
      <c r="D733" s="93"/>
      <c r="E733" s="166"/>
      <c r="F733" s="167"/>
      <c r="G733" s="168"/>
      <c r="H733" s="167"/>
      <c r="I733" s="41"/>
      <c r="J733" s="169"/>
      <c r="K733" s="48"/>
      <c r="L733" s="93"/>
      <c r="M733" s="94"/>
    </row>
    <row r="734" ht="40.5" customHeight="1">
      <c r="A734" s="27"/>
      <c r="B734" s="29"/>
      <c r="C734" s="166"/>
      <c r="D734" s="93"/>
      <c r="E734" s="166"/>
      <c r="F734" s="167"/>
      <c r="G734" s="168"/>
      <c r="H734" s="167"/>
      <c r="I734" s="41"/>
      <c r="J734" s="169"/>
      <c r="K734" s="48"/>
      <c r="L734" s="93"/>
      <c r="M734" s="94"/>
    </row>
    <row r="735" ht="40.5" customHeight="1">
      <c r="A735" s="27"/>
      <c r="B735" s="29"/>
      <c r="C735" s="166"/>
      <c r="D735" s="93"/>
      <c r="E735" s="166"/>
      <c r="F735" s="167"/>
      <c r="G735" s="168"/>
      <c r="H735" s="167"/>
      <c r="I735" s="41"/>
      <c r="J735" s="169"/>
      <c r="K735" s="48"/>
      <c r="L735" s="93"/>
      <c r="M735" s="94"/>
    </row>
    <row r="736" ht="40.5" customHeight="1">
      <c r="A736" s="27"/>
      <c r="B736" s="29"/>
      <c r="C736" s="166"/>
      <c r="D736" s="93"/>
      <c r="E736" s="166"/>
      <c r="F736" s="167"/>
      <c r="G736" s="168"/>
      <c r="H736" s="167"/>
      <c r="I736" s="41"/>
      <c r="J736" s="169"/>
      <c r="K736" s="48"/>
      <c r="L736" s="93"/>
      <c r="M736" s="94"/>
    </row>
    <row r="737" ht="40.5" customHeight="1">
      <c r="A737" s="27"/>
      <c r="B737" s="29"/>
      <c r="C737" s="166"/>
      <c r="D737" s="93"/>
      <c r="E737" s="166"/>
      <c r="F737" s="167"/>
      <c r="G737" s="168"/>
      <c r="H737" s="167"/>
      <c r="I737" s="41"/>
      <c r="J737" s="169"/>
      <c r="K737" s="48"/>
      <c r="L737" s="93"/>
      <c r="M737" s="94"/>
    </row>
    <row r="738" ht="40.5" customHeight="1">
      <c r="A738" s="27"/>
      <c r="B738" s="29"/>
      <c r="C738" s="166"/>
      <c r="D738" s="93"/>
      <c r="E738" s="166"/>
      <c r="F738" s="167"/>
      <c r="G738" s="168"/>
      <c r="H738" s="167"/>
      <c r="I738" s="41"/>
      <c r="J738" s="169"/>
      <c r="K738" s="48"/>
      <c r="L738" s="93"/>
      <c r="M738" s="94"/>
    </row>
    <row r="739" ht="40.5" customHeight="1">
      <c r="A739" s="27"/>
      <c r="B739" s="29"/>
      <c r="C739" s="166"/>
      <c r="D739" s="93"/>
      <c r="E739" s="166"/>
      <c r="F739" s="167"/>
      <c r="G739" s="168"/>
      <c r="H739" s="167"/>
      <c r="I739" s="41"/>
      <c r="J739" s="169"/>
      <c r="K739" s="48"/>
      <c r="L739" s="93"/>
      <c r="M739" s="94"/>
    </row>
    <row r="740" ht="40.5" customHeight="1">
      <c r="A740" s="27"/>
      <c r="B740" s="29"/>
      <c r="C740" s="166"/>
      <c r="D740" s="93"/>
      <c r="E740" s="166"/>
      <c r="F740" s="167"/>
      <c r="G740" s="168"/>
      <c r="H740" s="167"/>
      <c r="I740" s="41"/>
      <c r="J740" s="169"/>
      <c r="K740" s="48"/>
      <c r="L740" s="93"/>
      <c r="M740" s="94"/>
    </row>
    <row r="741" ht="40.5" customHeight="1">
      <c r="A741" s="27"/>
      <c r="B741" s="29"/>
      <c r="C741" s="166"/>
      <c r="D741" s="93"/>
      <c r="E741" s="166"/>
      <c r="F741" s="167"/>
      <c r="G741" s="168"/>
      <c r="H741" s="167"/>
      <c r="I741" s="41"/>
      <c r="J741" s="169"/>
      <c r="K741" s="48"/>
      <c r="L741" s="93"/>
      <c r="M741" s="94"/>
    </row>
    <row r="742" ht="40.5" customHeight="1">
      <c r="A742" s="27"/>
      <c r="B742" s="29"/>
      <c r="C742" s="166"/>
      <c r="D742" s="93"/>
      <c r="E742" s="166"/>
      <c r="F742" s="167"/>
      <c r="G742" s="168"/>
      <c r="H742" s="167"/>
      <c r="I742" s="41"/>
      <c r="J742" s="169"/>
      <c r="K742" s="48"/>
      <c r="L742" s="93"/>
      <c r="M742" s="94"/>
    </row>
    <row r="743" ht="40.5" customHeight="1">
      <c r="A743" s="27"/>
      <c r="B743" s="29"/>
      <c r="C743" s="166"/>
      <c r="D743" s="93"/>
      <c r="E743" s="166"/>
      <c r="F743" s="167"/>
      <c r="G743" s="168"/>
      <c r="H743" s="167"/>
      <c r="I743" s="41"/>
      <c r="J743" s="169"/>
      <c r="K743" s="48"/>
      <c r="L743" s="93"/>
      <c r="M743" s="94"/>
    </row>
    <row r="744" ht="40.5" customHeight="1">
      <c r="A744" s="27"/>
      <c r="B744" s="29"/>
      <c r="C744" s="166"/>
      <c r="D744" s="93"/>
      <c r="E744" s="166"/>
      <c r="F744" s="167"/>
      <c r="G744" s="168"/>
      <c r="H744" s="167"/>
      <c r="I744" s="41"/>
      <c r="J744" s="169"/>
      <c r="K744" s="48"/>
      <c r="L744" s="93"/>
      <c r="M744" s="94"/>
    </row>
    <row r="745" ht="40.5" customHeight="1">
      <c r="A745" s="27"/>
      <c r="B745" s="29"/>
      <c r="C745" s="166"/>
      <c r="D745" s="93"/>
      <c r="E745" s="166"/>
      <c r="F745" s="167"/>
      <c r="G745" s="168"/>
      <c r="H745" s="167"/>
      <c r="I745" s="41"/>
      <c r="J745" s="169"/>
      <c r="K745" s="48"/>
      <c r="L745" s="93"/>
      <c r="M745" s="94"/>
    </row>
    <row r="746" ht="40.5" customHeight="1">
      <c r="A746" s="27"/>
      <c r="B746" s="29"/>
      <c r="C746" s="166"/>
      <c r="D746" s="93"/>
      <c r="E746" s="166"/>
      <c r="F746" s="167"/>
      <c r="G746" s="168"/>
      <c r="H746" s="167"/>
      <c r="I746" s="41"/>
      <c r="J746" s="169"/>
      <c r="K746" s="48"/>
      <c r="L746" s="93"/>
      <c r="M746" s="94"/>
    </row>
    <row r="747" ht="40.5" customHeight="1">
      <c r="A747" s="27"/>
      <c r="B747" s="29"/>
      <c r="C747" s="166"/>
      <c r="D747" s="93"/>
      <c r="E747" s="166"/>
      <c r="F747" s="167"/>
      <c r="G747" s="168"/>
      <c r="H747" s="167"/>
      <c r="I747" s="41"/>
      <c r="J747" s="169"/>
      <c r="K747" s="48"/>
      <c r="L747" s="93"/>
      <c r="M747" s="94"/>
    </row>
    <row r="748" ht="40.5" customHeight="1">
      <c r="A748" s="27"/>
      <c r="B748" s="29"/>
      <c r="C748" s="166"/>
      <c r="D748" s="93"/>
      <c r="E748" s="166"/>
      <c r="F748" s="167"/>
      <c r="G748" s="168"/>
      <c r="H748" s="167"/>
      <c r="I748" s="41"/>
      <c r="J748" s="169"/>
      <c r="K748" s="48"/>
      <c r="L748" s="93"/>
      <c r="M748" s="94"/>
    </row>
    <row r="749" ht="40.5" customHeight="1">
      <c r="A749" s="27"/>
      <c r="B749" s="29"/>
      <c r="C749" s="166"/>
      <c r="D749" s="93"/>
      <c r="E749" s="166"/>
      <c r="F749" s="167"/>
      <c r="G749" s="168"/>
      <c r="H749" s="167"/>
      <c r="I749" s="41"/>
      <c r="J749" s="169"/>
      <c r="K749" s="48"/>
      <c r="L749" s="93"/>
      <c r="M749" s="94"/>
    </row>
    <row r="750" ht="40.5" customHeight="1">
      <c r="A750" s="27"/>
      <c r="B750" s="29"/>
      <c r="C750" s="166"/>
      <c r="D750" s="93"/>
      <c r="E750" s="166"/>
      <c r="F750" s="167"/>
      <c r="G750" s="168"/>
      <c r="H750" s="167"/>
      <c r="I750" s="41"/>
      <c r="J750" s="169"/>
      <c r="K750" s="48"/>
      <c r="L750" s="93"/>
      <c r="M750" s="94"/>
    </row>
    <row r="751" ht="40.5" customHeight="1">
      <c r="A751" s="27"/>
      <c r="B751" s="29"/>
      <c r="C751" s="166"/>
      <c r="D751" s="93"/>
      <c r="E751" s="166"/>
      <c r="F751" s="167"/>
      <c r="G751" s="168"/>
      <c r="H751" s="167"/>
      <c r="I751" s="41"/>
      <c r="J751" s="169"/>
      <c r="K751" s="48"/>
      <c r="L751" s="93"/>
      <c r="M751" s="94"/>
    </row>
    <row r="752" ht="40.5" customHeight="1">
      <c r="A752" s="27"/>
      <c r="B752" s="29"/>
      <c r="C752" s="166"/>
      <c r="D752" s="93"/>
      <c r="E752" s="166"/>
      <c r="F752" s="167"/>
      <c r="G752" s="168"/>
      <c r="H752" s="167"/>
      <c r="I752" s="41"/>
      <c r="J752" s="169"/>
      <c r="K752" s="48"/>
      <c r="L752" s="93"/>
      <c r="M752" s="94"/>
    </row>
    <row r="753" ht="40.5" customHeight="1">
      <c r="A753" s="27"/>
      <c r="B753" s="29"/>
      <c r="C753" s="166"/>
      <c r="D753" s="93"/>
      <c r="E753" s="166"/>
      <c r="F753" s="167"/>
      <c r="G753" s="168"/>
      <c r="H753" s="167"/>
      <c r="I753" s="41"/>
      <c r="J753" s="169"/>
      <c r="K753" s="48"/>
      <c r="L753" s="93"/>
      <c r="M753" s="94"/>
    </row>
    <row r="754" ht="40.5" customHeight="1">
      <c r="A754" s="27"/>
      <c r="B754" s="29"/>
      <c r="C754" s="166"/>
      <c r="D754" s="93"/>
      <c r="E754" s="166"/>
      <c r="F754" s="167"/>
      <c r="G754" s="168"/>
      <c r="H754" s="167"/>
      <c r="I754" s="41"/>
      <c r="J754" s="169"/>
      <c r="K754" s="48"/>
      <c r="L754" s="93"/>
      <c r="M754" s="94"/>
    </row>
    <row r="755" ht="40.5" customHeight="1">
      <c r="A755" s="27"/>
      <c r="B755" s="29"/>
      <c r="C755" s="166"/>
      <c r="D755" s="93"/>
      <c r="E755" s="166"/>
      <c r="F755" s="167"/>
      <c r="G755" s="168"/>
      <c r="H755" s="167"/>
      <c r="I755" s="41"/>
      <c r="J755" s="169"/>
      <c r="K755" s="48"/>
      <c r="L755" s="93"/>
      <c r="M755" s="94"/>
    </row>
    <row r="756" ht="40.5" customHeight="1">
      <c r="A756" s="27"/>
      <c r="B756" s="29"/>
      <c r="C756" s="166"/>
      <c r="D756" s="93"/>
      <c r="E756" s="166"/>
      <c r="F756" s="167"/>
      <c r="G756" s="168"/>
      <c r="H756" s="167"/>
      <c r="I756" s="41"/>
      <c r="J756" s="169"/>
      <c r="K756" s="48"/>
      <c r="L756" s="93"/>
      <c r="M756" s="94"/>
    </row>
    <row r="757" ht="40.5" customHeight="1">
      <c r="A757" s="27"/>
      <c r="B757" s="29"/>
      <c r="C757" s="166"/>
      <c r="D757" s="93"/>
      <c r="E757" s="166"/>
      <c r="F757" s="167"/>
      <c r="G757" s="168"/>
      <c r="H757" s="167"/>
      <c r="I757" s="41"/>
      <c r="J757" s="169"/>
      <c r="K757" s="48"/>
      <c r="L757" s="93"/>
      <c r="M757" s="94"/>
    </row>
    <row r="758" ht="40.5" customHeight="1">
      <c r="A758" s="27"/>
      <c r="B758" s="29"/>
      <c r="C758" s="166"/>
      <c r="D758" s="93"/>
      <c r="E758" s="166"/>
      <c r="F758" s="167"/>
      <c r="G758" s="168"/>
      <c r="H758" s="167"/>
      <c r="I758" s="41"/>
      <c r="J758" s="169"/>
      <c r="K758" s="48"/>
      <c r="L758" s="93"/>
      <c r="M758" s="94"/>
    </row>
    <row r="759" ht="40.5" customHeight="1">
      <c r="A759" s="27"/>
      <c r="B759" s="29"/>
      <c r="C759" s="166"/>
      <c r="D759" s="93"/>
      <c r="E759" s="166"/>
      <c r="F759" s="167"/>
      <c r="G759" s="168"/>
      <c r="H759" s="167"/>
      <c r="I759" s="41"/>
      <c r="J759" s="169"/>
      <c r="K759" s="48"/>
      <c r="L759" s="93"/>
      <c r="M759" s="94"/>
    </row>
    <row r="760" ht="40.5" customHeight="1">
      <c r="A760" s="27"/>
      <c r="B760" s="29"/>
      <c r="C760" s="166"/>
      <c r="D760" s="93"/>
      <c r="E760" s="166"/>
      <c r="F760" s="167"/>
      <c r="G760" s="168"/>
      <c r="H760" s="167"/>
      <c r="I760" s="41"/>
      <c r="J760" s="169"/>
      <c r="K760" s="48"/>
      <c r="L760" s="93"/>
      <c r="M760" s="94"/>
    </row>
    <row r="761" ht="40.5" customHeight="1">
      <c r="A761" s="27"/>
      <c r="B761" s="29"/>
      <c r="C761" s="166"/>
      <c r="D761" s="93"/>
      <c r="E761" s="166"/>
      <c r="F761" s="167"/>
      <c r="G761" s="168"/>
      <c r="H761" s="167"/>
      <c r="I761" s="41"/>
      <c r="J761" s="169"/>
      <c r="K761" s="48"/>
      <c r="L761" s="93"/>
      <c r="M761" s="94"/>
    </row>
    <row r="762" ht="40.5" customHeight="1">
      <c r="A762" s="27"/>
      <c r="B762" s="29"/>
      <c r="C762" s="166"/>
      <c r="D762" s="93"/>
      <c r="E762" s="166"/>
      <c r="F762" s="167"/>
      <c r="G762" s="168"/>
      <c r="H762" s="167"/>
      <c r="I762" s="41"/>
      <c r="J762" s="169"/>
      <c r="K762" s="48"/>
      <c r="L762" s="93"/>
      <c r="M762" s="94"/>
    </row>
    <row r="763" ht="40.5" customHeight="1">
      <c r="A763" s="27"/>
      <c r="B763" s="29"/>
      <c r="C763" s="166"/>
      <c r="D763" s="93"/>
      <c r="E763" s="166"/>
      <c r="F763" s="167"/>
      <c r="G763" s="168"/>
      <c r="H763" s="167"/>
      <c r="I763" s="41"/>
      <c r="J763" s="169"/>
      <c r="K763" s="48"/>
      <c r="L763" s="93"/>
      <c r="M763" s="94"/>
    </row>
    <row r="764" ht="40.5" customHeight="1">
      <c r="A764" s="27"/>
      <c r="B764" s="29"/>
      <c r="C764" s="166"/>
      <c r="D764" s="93"/>
      <c r="E764" s="166"/>
      <c r="F764" s="167"/>
      <c r="G764" s="168"/>
      <c r="H764" s="167"/>
      <c r="I764" s="41"/>
      <c r="J764" s="169"/>
      <c r="K764" s="48"/>
      <c r="L764" s="93"/>
      <c r="M764" s="94"/>
    </row>
    <row r="765" ht="40.5" customHeight="1">
      <c r="A765" s="27"/>
      <c r="B765" s="29"/>
      <c r="C765" s="166"/>
      <c r="D765" s="93"/>
      <c r="E765" s="166"/>
      <c r="F765" s="167"/>
      <c r="G765" s="168"/>
      <c r="H765" s="167"/>
      <c r="I765" s="41"/>
      <c r="J765" s="169"/>
      <c r="K765" s="48"/>
      <c r="L765" s="93"/>
      <c r="M765" s="94"/>
    </row>
    <row r="766" ht="40.5" customHeight="1">
      <c r="A766" s="27"/>
      <c r="B766" s="29"/>
      <c r="C766" s="166"/>
      <c r="D766" s="93"/>
      <c r="E766" s="166"/>
      <c r="F766" s="167"/>
      <c r="G766" s="168"/>
      <c r="H766" s="167"/>
      <c r="I766" s="41"/>
      <c r="J766" s="169"/>
      <c r="K766" s="48"/>
      <c r="L766" s="93"/>
      <c r="M766" s="94"/>
    </row>
    <row r="767" ht="40.5" customHeight="1">
      <c r="A767" s="27"/>
      <c r="B767" s="29"/>
      <c r="C767" s="166"/>
      <c r="D767" s="93"/>
      <c r="E767" s="166"/>
      <c r="F767" s="167"/>
      <c r="G767" s="168"/>
      <c r="H767" s="167"/>
      <c r="I767" s="41"/>
      <c r="J767" s="169"/>
      <c r="K767" s="48"/>
      <c r="L767" s="93"/>
      <c r="M767" s="94"/>
    </row>
    <row r="768" ht="40.5" customHeight="1">
      <c r="A768" s="27"/>
      <c r="B768" s="29"/>
      <c r="C768" s="166"/>
      <c r="D768" s="93"/>
      <c r="E768" s="166"/>
      <c r="F768" s="167"/>
      <c r="G768" s="168"/>
      <c r="H768" s="167"/>
      <c r="I768" s="41"/>
      <c r="J768" s="169"/>
      <c r="K768" s="48"/>
      <c r="L768" s="93"/>
      <c r="M768" s="94"/>
    </row>
    <row r="769" ht="40.5" customHeight="1">
      <c r="A769" s="27"/>
      <c r="B769" s="29"/>
      <c r="C769" s="166"/>
      <c r="D769" s="93"/>
      <c r="E769" s="166"/>
      <c r="F769" s="167"/>
      <c r="G769" s="168"/>
      <c r="H769" s="167"/>
      <c r="I769" s="41"/>
      <c r="J769" s="169"/>
      <c r="K769" s="48"/>
      <c r="L769" s="93"/>
      <c r="M769" s="94"/>
    </row>
    <row r="770" ht="40.5" customHeight="1">
      <c r="A770" s="27"/>
      <c r="B770" s="29"/>
      <c r="C770" s="166"/>
      <c r="D770" s="93"/>
      <c r="E770" s="166"/>
      <c r="F770" s="167"/>
      <c r="G770" s="168"/>
      <c r="H770" s="167"/>
      <c r="I770" s="41"/>
      <c r="J770" s="169"/>
      <c r="K770" s="48"/>
      <c r="L770" s="93"/>
      <c r="M770" s="94"/>
    </row>
    <row r="771" ht="40.5" customHeight="1">
      <c r="A771" s="27"/>
      <c r="B771" s="29"/>
      <c r="C771" s="166"/>
      <c r="D771" s="93"/>
      <c r="E771" s="166"/>
      <c r="F771" s="167"/>
      <c r="G771" s="168"/>
      <c r="H771" s="167"/>
      <c r="I771" s="41"/>
      <c r="J771" s="169"/>
      <c r="K771" s="48"/>
      <c r="L771" s="93"/>
      <c r="M771" s="94"/>
    </row>
    <row r="772" ht="40.5" customHeight="1">
      <c r="A772" s="27"/>
      <c r="B772" s="29"/>
      <c r="C772" s="166"/>
      <c r="D772" s="93"/>
      <c r="E772" s="166"/>
      <c r="F772" s="167"/>
      <c r="G772" s="168"/>
      <c r="H772" s="167"/>
      <c r="I772" s="41"/>
      <c r="J772" s="169"/>
      <c r="K772" s="48"/>
      <c r="L772" s="93"/>
      <c r="M772" s="94"/>
    </row>
    <row r="773" ht="40.5" customHeight="1">
      <c r="A773" s="27"/>
      <c r="B773" s="29"/>
      <c r="C773" s="166"/>
      <c r="D773" s="93"/>
      <c r="E773" s="166"/>
      <c r="F773" s="167"/>
      <c r="G773" s="168"/>
      <c r="H773" s="167"/>
      <c r="I773" s="41"/>
      <c r="J773" s="169"/>
      <c r="K773" s="48"/>
      <c r="L773" s="93"/>
      <c r="M773" s="94"/>
    </row>
    <row r="774" ht="40.5" customHeight="1">
      <c r="A774" s="27"/>
      <c r="B774" s="29"/>
      <c r="C774" s="166"/>
      <c r="D774" s="93"/>
      <c r="E774" s="166"/>
      <c r="F774" s="167"/>
      <c r="G774" s="168"/>
      <c r="H774" s="167"/>
      <c r="I774" s="41"/>
      <c r="J774" s="169"/>
      <c r="K774" s="48"/>
      <c r="L774" s="93"/>
      <c r="M774" s="94"/>
    </row>
    <row r="775" ht="40.5" customHeight="1">
      <c r="A775" s="27"/>
      <c r="B775" s="29"/>
      <c r="C775" s="166"/>
      <c r="D775" s="93"/>
      <c r="E775" s="166"/>
      <c r="F775" s="167"/>
      <c r="G775" s="168"/>
      <c r="H775" s="167"/>
      <c r="I775" s="41"/>
      <c r="J775" s="169"/>
      <c r="K775" s="48"/>
      <c r="L775" s="93"/>
      <c r="M775" s="94"/>
    </row>
    <row r="776" ht="40.5" customHeight="1">
      <c r="A776" s="27"/>
      <c r="B776" s="29"/>
      <c r="C776" s="166"/>
      <c r="D776" s="93"/>
      <c r="E776" s="166"/>
      <c r="F776" s="167"/>
      <c r="G776" s="168"/>
      <c r="H776" s="167"/>
      <c r="I776" s="41"/>
      <c r="J776" s="169"/>
      <c r="K776" s="48"/>
      <c r="L776" s="93"/>
      <c r="M776" s="94"/>
    </row>
    <row r="777" ht="40.5" customHeight="1">
      <c r="A777" s="27"/>
      <c r="B777" s="29"/>
      <c r="C777" s="166"/>
      <c r="D777" s="93"/>
      <c r="E777" s="166"/>
      <c r="F777" s="167"/>
      <c r="G777" s="168"/>
      <c r="H777" s="167"/>
      <c r="I777" s="41"/>
      <c r="J777" s="169"/>
      <c r="K777" s="48"/>
      <c r="L777" s="93"/>
      <c r="M777" s="94"/>
    </row>
    <row r="778" ht="40.5" customHeight="1">
      <c r="A778" s="27"/>
      <c r="B778" s="29"/>
      <c r="C778" s="166"/>
      <c r="D778" s="93"/>
      <c r="E778" s="166"/>
      <c r="F778" s="167"/>
      <c r="G778" s="168"/>
      <c r="H778" s="167"/>
      <c r="I778" s="41"/>
      <c r="J778" s="169"/>
      <c r="K778" s="48"/>
      <c r="L778" s="93"/>
      <c r="M778" s="94"/>
    </row>
    <row r="779" ht="40.5" customHeight="1">
      <c r="A779" s="27"/>
      <c r="B779" s="29"/>
      <c r="C779" s="166"/>
      <c r="D779" s="93"/>
      <c r="E779" s="166"/>
      <c r="F779" s="167"/>
      <c r="G779" s="168"/>
      <c r="H779" s="167"/>
      <c r="I779" s="41"/>
      <c r="J779" s="169"/>
      <c r="K779" s="48"/>
      <c r="L779" s="93"/>
      <c r="M779" s="94"/>
    </row>
    <row r="780" ht="40.5" customHeight="1">
      <c r="A780" s="27"/>
      <c r="B780" s="29"/>
      <c r="C780" s="166"/>
      <c r="D780" s="93"/>
      <c r="E780" s="166"/>
      <c r="F780" s="167"/>
      <c r="G780" s="168"/>
      <c r="H780" s="167"/>
      <c r="I780" s="41"/>
      <c r="J780" s="169"/>
      <c r="K780" s="48"/>
      <c r="L780" s="93"/>
      <c r="M780" s="94"/>
    </row>
    <row r="781" ht="40.5" customHeight="1">
      <c r="A781" s="27"/>
      <c r="B781" s="29"/>
      <c r="C781" s="166"/>
      <c r="D781" s="93"/>
      <c r="E781" s="166"/>
      <c r="F781" s="167"/>
      <c r="G781" s="168"/>
      <c r="H781" s="167"/>
      <c r="I781" s="41"/>
      <c r="J781" s="169"/>
      <c r="K781" s="48"/>
      <c r="L781" s="93"/>
      <c r="M781" s="94"/>
    </row>
    <row r="782" ht="40.5" customHeight="1">
      <c r="A782" s="27"/>
      <c r="B782" s="29"/>
      <c r="C782" s="166"/>
      <c r="D782" s="93"/>
      <c r="E782" s="166"/>
      <c r="F782" s="167"/>
      <c r="G782" s="168"/>
      <c r="H782" s="167"/>
      <c r="I782" s="41"/>
      <c r="J782" s="169"/>
      <c r="K782" s="48"/>
      <c r="L782" s="93"/>
      <c r="M782" s="94"/>
    </row>
    <row r="783" ht="40.5" customHeight="1">
      <c r="A783" s="27"/>
      <c r="B783" s="29"/>
      <c r="C783" s="166"/>
      <c r="D783" s="93"/>
      <c r="E783" s="166"/>
      <c r="F783" s="167"/>
      <c r="G783" s="168"/>
      <c r="H783" s="167"/>
      <c r="I783" s="41"/>
      <c r="J783" s="169"/>
      <c r="K783" s="48"/>
      <c r="L783" s="93"/>
      <c r="M783" s="94"/>
    </row>
    <row r="784" ht="40.5" customHeight="1">
      <c r="A784" s="27"/>
      <c r="B784" s="29"/>
      <c r="C784" s="166"/>
      <c r="D784" s="93"/>
      <c r="E784" s="166"/>
      <c r="F784" s="167"/>
      <c r="G784" s="168"/>
      <c r="H784" s="167"/>
      <c r="I784" s="41"/>
      <c r="J784" s="169"/>
      <c r="K784" s="48"/>
      <c r="L784" s="93"/>
      <c r="M784" s="94"/>
    </row>
    <row r="785" ht="40.5" customHeight="1">
      <c r="A785" s="27"/>
      <c r="B785" s="29"/>
      <c r="C785" s="166"/>
      <c r="D785" s="93"/>
      <c r="E785" s="166"/>
      <c r="F785" s="167"/>
      <c r="G785" s="168"/>
      <c r="H785" s="167"/>
      <c r="I785" s="41"/>
      <c r="J785" s="169"/>
      <c r="K785" s="48"/>
      <c r="L785" s="93"/>
      <c r="M785" s="94"/>
    </row>
    <row r="786" ht="40.5" customHeight="1">
      <c r="A786" s="27"/>
      <c r="B786" s="29"/>
      <c r="C786" s="166"/>
      <c r="D786" s="93"/>
      <c r="E786" s="166"/>
      <c r="F786" s="167"/>
      <c r="G786" s="168"/>
      <c r="H786" s="167"/>
      <c r="I786" s="41"/>
      <c r="J786" s="169"/>
      <c r="K786" s="48"/>
      <c r="L786" s="93"/>
      <c r="M786" s="94"/>
    </row>
    <row r="787" ht="40.5" customHeight="1">
      <c r="A787" s="27"/>
      <c r="B787" s="29"/>
      <c r="C787" s="166"/>
      <c r="D787" s="93"/>
      <c r="E787" s="166"/>
      <c r="F787" s="167"/>
      <c r="G787" s="168"/>
      <c r="H787" s="167"/>
      <c r="I787" s="41"/>
      <c r="J787" s="169"/>
      <c r="K787" s="48"/>
      <c r="L787" s="93"/>
      <c r="M787" s="94"/>
    </row>
    <row r="788" ht="40.5" customHeight="1">
      <c r="A788" s="27"/>
      <c r="B788" s="29"/>
      <c r="C788" s="166"/>
      <c r="D788" s="93"/>
      <c r="E788" s="166"/>
      <c r="F788" s="167"/>
      <c r="G788" s="168"/>
      <c r="H788" s="167"/>
      <c r="I788" s="41"/>
      <c r="J788" s="169"/>
      <c r="K788" s="48"/>
      <c r="L788" s="93"/>
      <c r="M788" s="94"/>
    </row>
    <row r="789" ht="40.5" customHeight="1">
      <c r="A789" s="27"/>
      <c r="B789" s="29"/>
      <c r="C789" s="166"/>
      <c r="D789" s="93"/>
      <c r="E789" s="166"/>
      <c r="F789" s="167"/>
      <c r="G789" s="168"/>
      <c r="H789" s="167"/>
      <c r="I789" s="41"/>
      <c r="J789" s="169"/>
      <c r="K789" s="48"/>
      <c r="L789" s="93"/>
      <c r="M789" s="94"/>
    </row>
    <row r="790" ht="40.5" customHeight="1">
      <c r="A790" s="27"/>
      <c r="B790" s="29"/>
      <c r="C790" s="166"/>
      <c r="D790" s="93"/>
      <c r="E790" s="166"/>
      <c r="F790" s="167"/>
      <c r="G790" s="168"/>
      <c r="H790" s="167"/>
      <c r="I790" s="41"/>
      <c r="J790" s="169"/>
      <c r="K790" s="48"/>
      <c r="L790" s="93"/>
      <c r="M790" s="94"/>
    </row>
    <row r="791" ht="40.5" customHeight="1">
      <c r="A791" s="27"/>
      <c r="B791" s="29"/>
      <c r="C791" s="166"/>
      <c r="D791" s="93"/>
      <c r="E791" s="166"/>
      <c r="F791" s="167"/>
      <c r="G791" s="168"/>
      <c r="H791" s="167"/>
      <c r="I791" s="41"/>
      <c r="J791" s="169"/>
      <c r="K791" s="48"/>
      <c r="L791" s="93"/>
      <c r="M791" s="94"/>
    </row>
    <row r="792" ht="40.5" customHeight="1">
      <c r="A792" s="27"/>
      <c r="B792" s="29"/>
      <c r="C792" s="166"/>
      <c r="D792" s="93"/>
      <c r="E792" s="166"/>
      <c r="F792" s="167"/>
      <c r="G792" s="168"/>
      <c r="H792" s="167"/>
      <c r="I792" s="41"/>
      <c r="J792" s="169"/>
      <c r="K792" s="48"/>
      <c r="L792" s="93"/>
      <c r="M792" s="94"/>
    </row>
    <row r="793" ht="40.5" customHeight="1">
      <c r="A793" s="27"/>
      <c r="B793" s="29"/>
      <c r="C793" s="166"/>
      <c r="D793" s="93"/>
      <c r="E793" s="166"/>
      <c r="F793" s="167"/>
      <c r="G793" s="168"/>
      <c r="H793" s="167"/>
      <c r="I793" s="41"/>
      <c r="J793" s="169"/>
      <c r="K793" s="48"/>
      <c r="L793" s="93"/>
      <c r="M793" s="94"/>
    </row>
    <row r="794" ht="40.5" customHeight="1">
      <c r="A794" s="27"/>
      <c r="B794" s="29"/>
      <c r="C794" s="166"/>
      <c r="D794" s="93"/>
      <c r="E794" s="166"/>
      <c r="F794" s="167"/>
      <c r="G794" s="168"/>
      <c r="H794" s="167"/>
      <c r="I794" s="41"/>
      <c r="J794" s="169"/>
      <c r="K794" s="48"/>
      <c r="L794" s="93"/>
      <c r="M794" s="94"/>
    </row>
    <row r="795" ht="40.5" customHeight="1">
      <c r="A795" s="27"/>
      <c r="B795" s="29"/>
      <c r="C795" s="166"/>
      <c r="D795" s="93"/>
      <c r="E795" s="166"/>
      <c r="F795" s="167"/>
      <c r="G795" s="168"/>
      <c r="H795" s="167"/>
      <c r="I795" s="41"/>
      <c r="J795" s="169"/>
      <c r="K795" s="48"/>
      <c r="L795" s="93"/>
      <c r="M795" s="94"/>
    </row>
    <row r="796" ht="40.5" customHeight="1">
      <c r="A796" s="27"/>
      <c r="B796" s="29"/>
      <c r="C796" s="166"/>
      <c r="D796" s="93"/>
      <c r="E796" s="166"/>
      <c r="F796" s="167"/>
      <c r="G796" s="168"/>
      <c r="H796" s="167"/>
      <c r="I796" s="41"/>
      <c r="J796" s="169"/>
      <c r="K796" s="48"/>
      <c r="L796" s="93"/>
      <c r="M796" s="94"/>
    </row>
    <row r="797" ht="40.5" customHeight="1">
      <c r="A797" s="27"/>
      <c r="B797" s="29"/>
      <c r="C797" s="166"/>
      <c r="D797" s="93"/>
      <c r="E797" s="166"/>
      <c r="F797" s="167"/>
      <c r="G797" s="168"/>
      <c r="H797" s="167"/>
      <c r="I797" s="41"/>
      <c r="J797" s="169"/>
      <c r="K797" s="48"/>
      <c r="L797" s="93"/>
      <c r="M797" s="94"/>
    </row>
    <row r="798" ht="40.5" customHeight="1">
      <c r="A798" s="27"/>
      <c r="B798" s="29"/>
      <c r="C798" s="166"/>
      <c r="D798" s="93"/>
      <c r="E798" s="166"/>
      <c r="F798" s="167"/>
      <c r="G798" s="168"/>
      <c r="H798" s="167"/>
      <c r="I798" s="41"/>
      <c r="J798" s="169"/>
      <c r="K798" s="48"/>
      <c r="L798" s="93"/>
      <c r="M798" s="94"/>
    </row>
    <row r="799" ht="40.5" customHeight="1">
      <c r="A799" s="27"/>
      <c r="B799" s="29"/>
      <c r="C799" s="166"/>
      <c r="D799" s="93"/>
      <c r="E799" s="166"/>
      <c r="F799" s="167"/>
      <c r="G799" s="168"/>
      <c r="H799" s="167"/>
      <c r="I799" s="41"/>
      <c r="J799" s="169"/>
      <c r="K799" s="48"/>
      <c r="L799" s="93"/>
      <c r="M799" s="94"/>
    </row>
    <row r="800" ht="40.5" customHeight="1">
      <c r="A800" s="27"/>
      <c r="B800" s="29"/>
      <c r="C800" s="166"/>
      <c r="D800" s="93"/>
      <c r="E800" s="166"/>
      <c r="F800" s="167"/>
      <c r="G800" s="168"/>
      <c r="H800" s="167"/>
      <c r="I800" s="41"/>
      <c r="J800" s="169"/>
      <c r="K800" s="48"/>
      <c r="L800" s="93"/>
      <c r="M800" s="94"/>
    </row>
    <row r="801" ht="40.5" customHeight="1">
      <c r="A801" s="27"/>
      <c r="B801" s="29"/>
      <c r="C801" s="166"/>
      <c r="D801" s="93"/>
      <c r="E801" s="166"/>
      <c r="F801" s="167"/>
      <c r="G801" s="168"/>
      <c r="H801" s="167"/>
      <c r="I801" s="41"/>
      <c r="J801" s="169"/>
      <c r="K801" s="48"/>
      <c r="L801" s="93"/>
      <c r="M801" s="94"/>
    </row>
    <row r="802" ht="40.5" customHeight="1">
      <c r="A802" s="27"/>
      <c r="B802" s="29"/>
      <c r="C802" s="166"/>
      <c r="D802" s="93"/>
      <c r="E802" s="166"/>
      <c r="F802" s="167"/>
      <c r="G802" s="168"/>
      <c r="H802" s="167"/>
      <c r="I802" s="41"/>
      <c r="J802" s="169"/>
      <c r="K802" s="48"/>
      <c r="L802" s="93"/>
      <c r="M802" s="94"/>
    </row>
    <row r="803" ht="40.5" customHeight="1">
      <c r="A803" s="27"/>
      <c r="B803" s="29"/>
      <c r="C803" s="166"/>
      <c r="D803" s="93"/>
      <c r="E803" s="166"/>
      <c r="F803" s="167"/>
      <c r="G803" s="168"/>
      <c r="H803" s="167"/>
      <c r="I803" s="41"/>
      <c r="J803" s="169"/>
      <c r="K803" s="48"/>
      <c r="L803" s="93"/>
      <c r="M803" s="94"/>
    </row>
    <row r="804" ht="40.5" customHeight="1">
      <c r="A804" s="27"/>
      <c r="B804" s="29"/>
      <c r="C804" s="166"/>
      <c r="D804" s="93"/>
      <c r="E804" s="166"/>
      <c r="F804" s="167"/>
      <c r="G804" s="168"/>
      <c r="H804" s="167"/>
      <c r="I804" s="41"/>
      <c r="J804" s="169"/>
      <c r="K804" s="48"/>
      <c r="L804" s="93"/>
      <c r="M804" s="94"/>
    </row>
    <row r="805" ht="40.5" customHeight="1">
      <c r="A805" s="27"/>
      <c r="B805" s="29"/>
      <c r="C805" s="166"/>
      <c r="D805" s="93"/>
      <c r="E805" s="166"/>
      <c r="F805" s="167"/>
      <c r="G805" s="168"/>
      <c r="H805" s="167"/>
      <c r="I805" s="41"/>
      <c r="J805" s="169"/>
      <c r="K805" s="48"/>
      <c r="L805" s="93"/>
      <c r="M805" s="94"/>
    </row>
    <row r="806" ht="40.5" customHeight="1">
      <c r="A806" s="27"/>
      <c r="B806" s="29"/>
      <c r="C806" s="166"/>
      <c r="D806" s="93"/>
      <c r="E806" s="166"/>
      <c r="F806" s="167"/>
      <c r="G806" s="168"/>
      <c r="H806" s="167"/>
      <c r="I806" s="41"/>
      <c r="J806" s="169"/>
      <c r="K806" s="48"/>
      <c r="L806" s="93"/>
      <c r="M806" s="94"/>
    </row>
    <row r="807" ht="40.5" customHeight="1">
      <c r="A807" s="27"/>
      <c r="B807" s="29"/>
      <c r="C807" s="166"/>
      <c r="D807" s="93"/>
      <c r="E807" s="166"/>
      <c r="F807" s="167"/>
      <c r="G807" s="168"/>
      <c r="H807" s="167"/>
      <c r="I807" s="41"/>
      <c r="J807" s="169"/>
      <c r="K807" s="48"/>
      <c r="L807" s="93"/>
      <c r="M807" s="94"/>
    </row>
    <row r="808" ht="40.5" customHeight="1">
      <c r="A808" s="27"/>
      <c r="B808" s="29"/>
      <c r="C808" s="166"/>
      <c r="D808" s="93"/>
      <c r="E808" s="166"/>
      <c r="F808" s="167"/>
      <c r="G808" s="168"/>
      <c r="H808" s="167"/>
      <c r="I808" s="41"/>
      <c r="J808" s="169"/>
      <c r="K808" s="48"/>
      <c r="L808" s="93"/>
      <c r="M808" s="94"/>
    </row>
    <row r="809" ht="40.5" customHeight="1">
      <c r="A809" s="27"/>
      <c r="B809" s="29"/>
      <c r="C809" s="166"/>
      <c r="D809" s="93"/>
      <c r="E809" s="166"/>
      <c r="F809" s="167"/>
      <c r="G809" s="168"/>
      <c r="H809" s="167"/>
      <c r="I809" s="41"/>
      <c r="J809" s="169"/>
      <c r="K809" s="48"/>
      <c r="L809" s="93"/>
      <c r="M809" s="94"/>
    </row>
    <row r="810" ht="40.5" customHeight="1">
      <c r="A810" s="27"/>
      <c r="B810" s="29"/>
      <c r="C810" s="166"/>
      <c r="D810" s="93"/>
      <c r="E810" s="166"/>
      <c r="F810" s="167"/>
      <c r="G810" s="168"/>
      <c r="H810" s="167"/>
      <c r="I810" s="41"/>
      <c r="J810" s="169"/>
      <c r="K810" s="48"/>
      <c r="L810" s="93"/>
      <c r="M810" s="94"/>
    </row>
    <row r="811" ht="40.5" customHeight="1">
      <c r="A811" s="27"/>
      <c r="B811" s="29"/>
      <c r="C811" s="166"/>
      <c r="D811" s="93"/>
      <c r="E811" s="166"/>
      <c r="F811" s="167"/>
      <c r="G811" s="168"/>
      <c r="H811" s="167"/>
      <c r="I811" s="41"/>
      <c r="J811" s="169"/>
      <c r="K811" s="48"/>
      <c r="L811" s="93"/>
      <c r="M811" s="94"/>
    </row>
    <row r="812" ht="40.5" customHeight="1">
      <c r="A812" s="27"/>
      <c r="B812" s="29"/>
      <c r="C812" s="166"/>
      <c r="D812" s="93"/>
      <c r="E812" s="166"/>
      <c r="F812" s="167"/>
      <c r="G812" s="168"/>
      <c r="H812" s="167"/>
      <c r="I812" s="41"/>
      <c r="J812" s="169"/>
      <c r="K812" s="48"/>
      <c r="L812" s="93"/>
      <c r="M812" s="94"/>
    </row>
    <row r="813" ht="40.5" customHeight="1">
      <c r="A813" s="27"/>
      <c r="B813" s="29"/>
      <c r="C813" s="166"/>
      <c r="D813" s="93"/>
      <c r="E813" s="166"/>
      <c r="F813" s="167"/>
      <c r="G813" s="168"/>
      <c r="H813" s="167"/>
      <c r="I813" s="41"/>
      <c r="J813" s="169"/>
      <c r="K813" s="48"/>
      <c r="L813" s="93"/>
      <c r="M813" s="94"/>
    </row>
    <row r="814" ht="40.5" customHeight="1">
      <c r="A814" s="27"/>
      <c r="B814" s="29"/>
      <c r="C814" s="166"/>
      <c r="D814" s="93"/>
      <c r="E814" s="166"/>
      <c r="F814" s="167"/>
      <c r="G814" s="168"/>
      <c r="H814" s="167"/>
      <c r="I814" s="41"/>
      <c r="J814" s="169"/>
      <c r="K814" s="48"/>
      <c r="L814" s="93"/>
      <c r="M814" s="94"/>
    </row>
    <row r="815" ht="40.5" customHeight="1">
      <c r="A815" s="27"/>
      <c r="B815" s="29"/>
      <c r="C815" s="166"/>
      <c r="D815" s="93"/>
      <c r="E815" s="166"/>
      <c r="F815" s="167"/>
      <c r="G815" s="168"/>
      <c r="H815" s="167"/>
      <c r="I815" s="41"/>
      <c r="J815" s="169"/>
      <c r="K815" s="48"/>
      <c r="L815" s="93"/>
      <c r="M815" s="94"/>
    </row>
    <row r="816" ht="40.5" customHeight="1">
      <c r="A816" s="27"/>
      <c r="B816" s="29"/>
      <c r="C816" s="166"/>
      <c r="D816" s="93"/>
      <c r="E816" s="166"/>
      <c r="F816" s="167"/>
      <c r="G816" s="168"/>
      <c r="H816" s="167"/>
      <c r="I816" s="41"/>
      <c r="J816" s="169"/>
      <c r="K816" s="48"/>
      <c r="L816" s="93"/>
      <c r="M816" s="94"/>
    </row>
    <row r="817" ht="40.5" customHeight="1">
      <c r="A817" s="27"/>
      <c r="B817" s="29"/>
      <c r="C817" s="166"/>
      <c r="D817" s="93"/>
      <c r="E817" s="166"/>
      <c r="F817" s="167"/>
      <c r="G817" s="168"/>
      <c r="H817" s="167"/>
      <c r="I817" s="41"/>
      <c r="J817" s="169"/>
      <c r="K817" s="48"/>
      <c r="L817" s="93"/>
      <c r="M817" s="94"/>
    </row>
    <row r="818" ht="40.5" customHeight="1">
      <c r="A818" s="27"/>
      <c r="B818" s="29"/>
      <c r="C818" s="166"/>
      <c r="D818" s="93"/>
      <c r="E818" s="166"/>
      <c r="F818" s="167"/>
      <c r="G818" s="168"/>
      <c r="H818" s="167"/>
      <c r="I818" s="41"/>
      <c r="J818" s="169"/>
      <c r="K818" s="48"/>
      <c r="L818" s="93"/>
      <c r="M818" s="94"/>
    </row>
    <row r="819" ht="40.5" customHeight="1">
      <c r="A819" s="27"/>
      <c r="B819" s="29"/>
      <c r="C819" s="166"/>
      <c r="D819" s="93"/>
      <c r="E819" s="166"/>
      <c r="F819" s="167"/>
      <c r="G819" s="168"/>
      <c r="H819" s="167"/>
      <c r="I819" s="41"/>
      <c r="J819" s="169"/>
      <c r="K819" s="48"/>
      <c r="L819" s="93"/>
      <c r="M819" s="94"/>
    </row>
    <row r="820" ht="40.5" customHeight="1">
      <c r="A820" s="27"/>
      <c r="B820" s="29"/>
      <c r="C820" s="166"/>
      <c r="D820" s="93"/>
      <c r="E820" s="166"/>
      <c r="F820" s="167"/>
      <c r="G820" s="168"/>
      <c r="H820" s="167"/>
      <c r="I820" s="41"/>
      <c r="J820" s="169"/>
      <c r="K820" s="48"/>
      <c r="L820" s="93"/>
      <c r="M820" s="94"/>
    </row>
    <row r="821" ht="40.5" customHeight="1">
      <c r="A821" s="27"/>
      <c r="B821" s="29"/>
      <c r="C821" s="166"/>
      <c r="D821" s="93"/>
      <c r="E821" s="166"/>
      <c r="F821" s="167"/>
      <c r="G821" s="168"/>
      <c r="H821" s="167"/>
      <c r="I821" s="41"/>
      <c r="J821" s="169"/>
      <c r="K821" s="48"/>
      <c r="L821" s="93"/>
      <c r="M821" s="94"/>
    </row>
    <row r="822" ht="40.5" customHeight="1">
      <c r="A822" s="27"/>
      <c r="B822" s="29"/>
      <c r="C822" s="166"/>
      <c r="D822" s="93"/>
      <c r="E822" s="166"/>
      <c r="F822" s="167"/>
      <c r="G822" s="168"/>
      <c r="H822" s="167"/>
      <c r="I822" s="41"/>
      <c r="J822" s="169"/>
      <c r="K822" s="48"/>
      <c r="L822" s="93"/>
      <c r="M822" s="94"/>
    </row>
    <row r="823" ht="40.5" customHeight="1">
      <c r="A823" s="27"/>
      <c r="B823" s="29"/>
      <c r="C823" s="166"/>
      <c r="D823" s="93"/>
      <c r="E823" s="166"/>
      <c r="F823" s="167"/>
      <c r="G823" s="168"/>
      <c r="H823" s="167"/>
      <c r="I823" s="41"/>
      <c r="J823" s="169"/>
      <c r="K823" s="48"/>
      <c r="L823" s="93"/>
      <c r="M823" s="94"/>
    </row>
    <row r="824" ht="40.5" customHeight="1">
      <c r="A824" s="27"/>
      <c r="B824" s="29"/>
      <c r="C824" s="166"/>
      <c r="D824" s="93"/>
      <c r="E824" s="166"/>
      <c r="F824" s="167"/>
      <c r="G824" s="168"/>
      <c r="H824" s="167"/>
      <c r="I824" s="41"/>
      <c r="J824" s="169"/>
      <c r="K824" s="48"/>
      <c r="L824" s="93"/>
      <c r="M824" s="94"/>
    </row>
    <row r="825" ht="40.5" customHeight="1">
      <c r="A825" s="27"/>
      <c r="B825" s="29"/>
      <c r="C825" s="166"/>
      <c r="D825" s="93"/>
      <c r="E825" s="166"/>
      <c r="F825" s="167"/>
      <c r="G825" s="168"/>
      <c r="H825" s="167"/>
      <c r="I825" s="41"/>
      <c r="J825" s="169"/>
      <c r="K825" s="48"/>
      <c r="L825" s="93"/>
      <c r="M825" s="94"/>
    </row>
    <row r="826" ht="40.5" customHeight="1">
      <c r="A826" s="27"/>
      <c r="B826" s="29"/>
      <c r="C826" s="166"/>
      <c r="D826" s="93"/>
      <c r="E826" s="166"/>
      <c r="F826" s="167"/>
      <c r="G826" s="168"/>
      <c r="H826" s="167"/>
      <c r="I826" s="41"/>
      <c r="J826" s="169"/>
      <c r="K826" s="48"/>
      <c r="L826" s="93"/>
      <c r="M826" s="94"/>
    </row>
    <row r="827" ht="40.5" customHeight="1">
      <c r="A827" s="27"/>
      <c r="B827" s="29"/>
      <c r="C827" s="166"/>
      <c r="D827" s="93"/>
      <c r="E827" s="166"/>
      <c r="F827" s="167"/>
      <c r="G827" s="168"/>
      <c r="H827" s="167"/>
      <c r="I827" s="41"/>
      <c r="J827" s="169"/>
      <c r="K827" s="48"/>
      <c r="L827" s="93"/>
      <c r="M827" s="94"/>
    </row>
    <row r="828" ht="40.5" customHeight="1">
      <c r="A828" s="27"/>
      <c r="B828" s="29"/>
      <c r="C828" s="166"/>
      <c r="D828" s="93"/>
      <c r="E828" s="166"/>
      <c r="F828" s="167"/>
      <c r="G828" s="168"/>
      <c r="H828" s="167"/>
      <c r="I828" s="41"/>
      <c r="J828" s="169"/>
      <c r="K828" s="48"/>
      <c r="L828" s="93"/>
      <c r="M828" s="94"/>
    </row>
    <row r="829" ht="40.5" customHeight="1">
      <c r="A829" s="27"/>
      <c r="B829" s="29"/>
      <c r="C829" s="166"/>
      <c r="D829" s="93"/>
      <c r="E829" s="166"/>
      <c r="F829" s="167"/>
      <c r="G829" s="168"/>
      <c r="H829" s="167"/>
      <c r="I829" s="41"/>
      <c r="J829" s="169"/>
      <c r="K829" s="48"/>
      <c r="L829" s="93"/>
      <c r="M829" s="94"/>
    </row>
    <row r="830" ht="40.5" customHeight="1">
      <c r="A830" s="27"/>
      <c r="B830" s="29"/>
      <c r="C830" s="166"/>
      <c r="D830" s="93"/>
      <c r="E830" s="166"/>
      <c r="F830" s="167"/>
      <c r="G830" s="168"/>
      <c r="H830" s="167"/>
      <c r="I830" s="41"/>
      <c r="J830" s="169"/>
      <c r="K830" s="48"/>
      <c r="L830" s="93"/>
      <c r="M830" s="94"/>
    </row>
    <row r="831" ht="40.5" customHeight="1">
      <c r="A831" s="27"/>
      <c r="B831" s="29"/>
      <c r="C831" s="166"/>
      <c r="D831" s="93"/>
      <c r="E831" s="166"/>
      <c r="F831" s="167"/>
      <c r="G831" s="168"/>
      <c r="H831" s="167"/>
      <c r="I831" s="41"/>
      <c r="J831" s="169"/>
      <c r="K831" s="48"/>
      <c r="L831" s="93"/>
      <c r="M831" s="94"/>
    </row>
    <row r="832" ht="40.5" customHeight="1">
      <c r="A832" s="27"/>
      <c r="B832" s="29"/>
      <c r="C832" s="166"/>
      <c r="D832" s="93"/>
      <c r="E832" s="166"/>
      <c r="F832" s="167"/>
      <c r="G832" s="168"/>
      <c r="H832" s="167"/>
      <c r="I832" s="41"/>
      <c r="J832" s="169"/>
      <c r="K832" s="48"/>
      <c r="L832" s="93"/>
      <c r="M832" s="94"/>
    </row>
    <row r="833" ht="40.5" customHeight="1">
      <c r="A833" s="27"/>
      <c r="B833" s="29"/>
      <c r="C833" s="166"/>
      <c r="D833" s="93"/>
      <c r="E833" s="166"/>
      <c r="F833" s="167"/>
      <c r="G833" s="168"/>
      <c r="H833" s="167"/>
      <c r="I833" s="41"/>
      <c r="J833" s="169"/>
      <c r="K833" s="48"/>
      <c r="L833" s="93"/>
      <c r="M833" s="94"/>
    </row>
    <row r="834" ht="40.5" customHeight="1">
      <c r="A834" s="27"/>
      <c r="B834" s="29"/>
      <c r="C834" s="166"/>
      <c r="D834" s="93"/>
      <c r="E834" s="166"/>
      <c r="F834" s="167"/>
      <c r="G834" s="168"/>
      <c r="H834" s="167"/>
      <c r="I834" s="41"/>
      <c r="J834" s="169"/>
      <c r="K834" s="48"/>
      <c r="L834" s="93"/>
      <c r="M834" s="94"/>
    </row>
    <row r="835" ht="40.5" customHeight="1">
      <c r="A835" s="27"/>
      <c r="B835" s="29"/>
      <c r="C835" s="166"/>
      <c r="D835" s="93"/>
      <c r="E835" s="166"/>
      <c r="F835" s="167"/>
      <c r="G835" s="168"/>
      <c r="H835" s="167"/>
      <c r="I835" s="41"/>
      <c r="J835" s="169"/>
      <c r="K835" s="48"/>
      <c r="L835" s="93"/>
      <c r="M835" s="94"/>
    </row>
    <row r="836" ht="40.5" customHeight="1">
      <c r="A836" s="27"/>
      <c r="B836" s="29"/>
      <c r="C836" s="166"/>
      <c r="D836" s="93"/>
      <c r="E836" s="166"/>
      <c r="F836" s="167"/>
      <c r="G836" s="168"/>
      <c r="H836" s="167"/>
      <c r="I836" s="41"/>
      <c r="J836" s="169"/>
      <c r="K836" s="48"/>
      <c r="L836" s="93"/>
      <c r="M836" s="94"/>
    </row>
    <row r="837" ht="40.5" customHeight="1">
      <c r="A837" s="27"/>
      <c r="B837" s="29"/>
      <c r="C837" s="166"/>
      <c r="D837" s="93"/>
      <c r="E837" s="166"/>
      <c r="F837" s="167"/>
      <c r="G837" s="168"/>
      <c r="H837" s="167"/>
      <c r="I837" s="41"/>
      <c r="J837" s="169"/>
      <c r="K837" s="48"/>
      <c r="L837" s="93"/>
      <c r="M837" s="94"/>
    </row>
    <row r="838" ht="40.5" customHeight="1">
      <c r="A838" s="27"/>
      <c r="B838" s="29"/>
      <c r="C838" s="166"/>
      <c r="D838" s="93"/>
      <c r="E838" s="166"/>
      <c r="F838" s="167"/>
      <c r="G838" s="168"/>
      <c r="H838" s="167"/>
      <c r="I838" s="41"/>
      <c r="J838" s="169"/>
      <c r="K838" s="48"/>
      <c r="L838" s="93"/>
      <c r="M838" s="94"/>
    </row>
    <row r="839" ht="40.5" customHeight="1">
      <c r="A839" s="27"/>
      <c r="B839" s="29"/>
      <c r="C839" s="166"/>
      <c r="D839" s="93"/>
      <c r="E839" s="166"/>
      <c r="F839" s="167"/>
      <c r="G839" s="168"/>
      <c r="H839" s="167"/>
      <c r="I839" s="41"/>
      <c r="J839" s="169"/>
      <c r="K839" s="48"/>
      <c r="L839" s="93"/>
      <c r="M839" s="94"/>
    </row>
    <row r="840" ht="40.5" customHeight="1">
      <c r="A840" s="27"/>
      <c r="B840" s="29"/>
      <c r="C840" s="166"/>
      <c r="D840" s="93"/>
      <c r="E840" s="166"/>
      <c r="F840" s="167"/>
      <c r="G840" s="168"/>
      <c r="H840" s="167"/>
      <c r="I840" s="41"/>
      <c r="J840" s="169"/>
      <c r="K840" s="48"/>
      <c r="L840" s="93"/>
      <c r="M840" s="94"/>
    </row>
    <row r="841" ht="40.5" customHeight="1">
      <c r="A841" s="27"/>
      <c r="B841" s="29"/>
      <c r="C841" s="166"/>
      <c r="D841" s="93"/>
      <c r="E841" s="166"/>
      <c r="F841" s="167"/>
      <c r="G841" s="168"/>
      <c r="H841" s="167"/>
      <c r="I841" s="41"/>
      <c r="J841" s="169"/>
      <c r="K841" s="48"/>
      <c r="L841" s="93"/>
      <c r="M841" s="94"/>
    </row>
    <row r="842" ht="40.5" customHeight="1">
      <c r="A842" s="27"/>
      <c r="B842" s="29"/>
      <c r="C842" s="166"/>
      <c r="D842" s="93"/>
      <c r="E842" s="166"/>
      <c r="F842" s="167"/>
      <c r="G842" s="168"/>
      <c r="H842" s="167"/>
      <c r="I842" s="41"/>
      <c r="J842" s="169"/>
      <c r="K842" s="48"/>
      <c r="L842" s="93"/>
      <c r="M842" s="94"/>
    </row>
    <row r="843" ht="40.5" customHeight="1">
      <c r="A843" s="27"/>
      <c r="B843" s="29"/>
      <c r="C843" s="166"/>
      <c r="D843" s="93"/>
      <c r="E843" s="166"/>
      <c r="F843" s="167"/>
      <c r="G843" s="168"/>
      <c r="H843" s="167"/>
      <c r="I843" s="41"/>
      <c r="J843" s="169"/>
      <c r="K843" s="48"/>
      <c r="L843" s="93"/>
      <c r="M843" s="94"/>
    </row>
    <row r="844" ht="40.5" customHeight="1">
      <c r="A844" s="27"/>
      <c r="B844" s="29"/>
      <c r="C844" s="166"/>
      <c r="D844" s="93"/>
      <c r="E844" s="166"/>
      <c r="F844" s="167"/>
      <c r="G844" s="168"/>
      <c r="H844" s="167"/>
      <c r="I844" s="41"/>
      <c r="J844" s="169"/>
      <c r="K844" s="48"/>
      <c r="L844" s="93"/>
      <c r="M844" s="94"/>
    </row>
    <row r="845" ht="40.5" customHeight="1">
      <c r="A845" s="27"/>
      <c r="B845" s="29"/>
      <c r="C845" s="166"/>
      <c r="D845" s="93"/>
      <c r="E845" s="166"/>
      <c r="F845" s="167"/>
      <c r="G845" s="168"/>
      <c r="H845" s="167"/>
      <c r="I845" s="41"/>
      <c r="J845" s="169"/>
      <c r="K845" s="48"/>
      <c r="L845" s="93"/>
      <c r="M845" s="94"/>
    </row>
    <row r="846" ht="40.5" customHeight="1">
      <c r="A846" s="27"/>
      <c r="B846" s="29"/>
      <c r="C846" s="166"/>
      <c r="D846" s="93"/>
      <c r="E846" s="166"/>
      <c r="F846" s="167"/>
      <c r="G846" s="168"/>
      <c r="H846" s="167"/>
      <c r="I846" s="41"/>
      <c r="J846" s="169"/>
      <c r="K846" s="48"/>
      <c r="L846" s="93"/>
      <c r="M846" s="94"/>
    </row>
    <row r="847" ht="40.5" customHeight="1">
      <c r="A847" s="27"/>
      <c r="B847" s="29"/>
      <c r="C847" s="166"/>
      <c r="D847" s="93"/>
      <c r="E847" s="166"/>
      <c r="F847" s="167"/>
      <c r="G847" s="168"/>
      <c r="H847" s="167"/>
      <c r="I847" s="41"/>
      <c r="J847" s="169"/>
      <c r="K847" s="48"/>
      <c r="L847" s="93"/>
      <c r="M847" s="94"/>
    </row>
    <row r="848" ht="40.5" customHeight="1">
      <c r="A848" s="27"/>
      <c r="B848" s="29"/>
      <c r="C848" s="166"/>
      <c r="D848" s="93"/>
      <c r="E848" s="166"/>
      <c r="F848" s="167"/>
      <c r="G848" s="168"/>
      <c r="H848" s="167"/>
      <c r="I848" s="41"/>
      <c r="J848" s="169"/>
      <c r="K848" s="48"/>
      <c r="L848" s="93"/>
      <c r="M848" s="94"/>
    </row>
    <row r="849" ht="40.5" customHeight="1">
      <c r="A849" s="27"/>
      <c r="B849" s="29"/>
      <c r="C849" s="166"/>
      <c r="D849" s="93"/>
      <c r="E849" s="166"/>
      <c r="F849" s="167"/>
      <c r="G849" s="168"/>
      <c r="H849" s="167"/>
      <c r="I849" s="41"/>
      <c r="J849" s="169"/>
      <c r="K849" s="48"/>
      <c r="L849" s="93"/>
      <c r="M849" s="94"/>
    </row>
    <row r="850" ht="40.5" customHeight="1">
      <c r="A850" s="27"/>
      <c r="B850" s="29"/>
      <c r="C850" s="166"/>
      <c r="D850" s="93"/>
      <c r="E850" s="166"/>
      <c r="F850" s="167"/>
      <c r="G850" s="168"/>
      <c r="H850" s="167"/>
      <c r="I850" s="41"/>
      <c r="J850" s="169"/>
      <c r="K850" s="48"/>
      <c r="L850" s="93"/>
      <c r="M850" s="94"/>
    </row>
    <row r="851" ht="40.5" customHeight="1">
      <c r="A851" s="27"/>
      <c r="B851" s="29"/>
      <c r="C851" s="166"/>
      <c r="D851" s="93"/>
      <c r="E851" s="166"/>
      <c r="F851" s="167"/>
      <c r="G851" s="168"/>
      <c r="H851" s="167"/>
      <c r="I851" s="41"/>
      <c r="J851" s="169"/>
      <c r="K851" s="48"/>
      <c r="L851" s="93"/>
      <c r="M851" s="94"/>
    </row>
    <row r="852" ht="40.5" customHeight="1">
      <c r="A852" s="27"/>
      <c r="B852" s="29"/>
      <c r="C852" s="166"/>
      <c r="D852" s="93"/>
      <c r="E852" s="166"/>
      <c r="F852" s="167"/>
      <c r="G852" s="168"/>
      <c r="H852" s="167"/>
      <c r="I852" s="41"/>
      <c r="J852" s="169"/>
      <c r="K852" s="48"/>
      <c r="L852" s="93"/>
      <c r="M852" s="94"/>
    </row>
    <row r="853" ht="40.5" customHeight="1">
      <c r="A853" s="27"/>
      <c r="B853" s="29"/>
      <c r="C853" s="166"/>
      <c r="D853" s="93"/>
      <c r="E853" s="166"/>
      <c r="F853" s="167"/>
      <c r="G853" s="168"/>
      <c r="H853" s="167"/>
      <c r="I853" s="41"/>
      <c r="J853" s="169"/>
      <c r="K853" s="48"/>
      <c r="L853" s="93"/>
      <c r="M853" s="94"/>
    </row>
    <row r="854" ht="40.5" customHeight="1">
      <c r="A854" s="27"/>
      <c r="B854" s="29"/>
      <c r="C854" s="166"/>
      <c r="D854" s="93"/>
      <c r="E854" s="166"/>
      <c r="F854" s="167"/>
      <c r="G854" s="168"/>
      <c r="H854" s="167"/>
      <c r="I854" s="41"/>
      <c r="J854" s="169"/>
      <c r="K854" s="48"/>
      <c r="L854" s="93"/>
      <c r="M854" s="94"/>
    </row>
    <row r="855" ht="40.5" customHeight="1">
      <c r="A855" s="27"/>
      <c r="B855" s="29"/>
      <c r="C855" s="166"/>
      <c r="D855" s="93"/>
      <c r="E855" s="166"/>
      <c r="F855" s="167"/>
      <c r="G855" s="168"/>
      <c r="H855" s="167"/>
      <c r="I855" s="41"/>
      <c r="J855" s="169"/>
      <c r="K855" s="48"/>
      <c r="L855" s="93"/>
      <c r="M855" s="94"/>
    </row>
    <row r="856" ht="40.5" customHeight="1">
      <c r="A856" s="27"/>
      <c r="B856" s="29"/>
      <c r="C856" s="166"/>
      <c r="D856" s="93"/>
      <c r="E856" s="166"/>
      <c r="F856" s="167"/>
      <c r="G856" s="168"/>
      <c r="H856" s="167"/>
      <c r="I856" s="41"/>
      <c r="J856" s="169"/>
      <c r="K856" s="48"/>
      <c r="L856" s="93"/>
      <c r="M856" s="94"/>
    </row>
    <row r="857" ht="40.5" customHeight="1">
      <c r="A857" s="27"/>
      <c r="B857" s="29"/>
      <c r="C857" s="166"/>
      <c r="D857" s="93"/>
      <c r="E857" s="166"/>
      <c r="F857" s="167"/>
      <c r="G857" s="168"/>
      <c r="H857" s="167"/>
      <c r="I857" s="41"/>
      <c r="J857" s="169"/>
      <c r="K857" s="48"/>
      <c r="L857" s="93"/>
      <c r="M857" s="94"/>
    </row>
    <row r="858" ht="40.5" customHeight="1">
      <c r="A858" s="27"/>
      <c r="B858" s="29"/>
      <c r="C858" s="166"/>
      <c r="D858" s="93"/>
      <c r="E858" s="166"/>
      <c r="F858" s="167"/>
      <c r="G858" s="168"/>
      <c r="H858" s="167"/>
      <c r="I858" s="41"/>
      <c r="J858" s="169"/>
      <c r="K858" s="48"/>
      <c r="L858" s="93"/>
      <c r="M858" s="94"/>
    </row>
    <row r="859" ht="40.5" customHeight="1">
      <c r="A859" s="27"/>
      <c r="B859" s="29"/>
      <c r="C859" s="166"/>
      <c r="D859" s="93"/>
      <c r="E859" s="166"/>
      <c r="F859" s="167"/>
      <c r="G859" s="168"/>
      <c r="H859" s="167"/>
      <c r="I859" s="41"/>
      <c r="J859" s="169"/>
      <c r="K859" s="48"/>
      <c r="L859" s="93"/>
      <c r="M859" s="94"/>
    </row>
    <row r="860" ht="40.5" customHeight="1">
      <c r="A860" s="27"/>
      <c r="B860" s="29"/>
      <c r="C860" s="166"/>
      <c r="D860" s="93"/>
      <c r="E860" s="166"/>
      <c r="F860" s="167"/>
      <c r="G860" s="168"/>
      <c r="H860" s="167"/>
      <c r="I860" s="41"/>
      <c r="J860" s="169"/>
      <c r="K860" s="48"/>
      <c r="L860" s="93"/>
      <c r="M860" s="94"/>
    </row>
    <row r="861" ht="40.5" customHeight="1">
      <c r="A861" s="27"/>
      <c r="B861" s="29"/>
      <c r="C861" s="166"/>
      <c r="D861" s="93"/>
      <c r="E861" s="166"/>
      <c r="F861" s="167"/>
      <c r="G861" s="168"/>
      <c r="H861" s="167"/>
      <c r="I861" s="41"/>
      <c r="J861" s="169"/>
      <c r="K861" s="48"/>
      <c r="L861" s="93"/>
      <c r="M861" s="94"/>
    </row>
    <row r="862" ht="40.5" customHeight="1">
      <c r="A862" s="27"/>
      <c r="B862" s="29"/>
      <c r="C862" s="166"/>
      <c r="D862" s="93"/>
      <c r="E862" s="166"/>
      <c r="F862" s="167"/>
      <c r="G862" s="168"/>
      <c r="H862" s="167"/>
      <c r="I862" s="41"/>
      <c r="J862" s="169"/>
      <c r="K862" s="48"/>
      <c r="L862" s="93"/>
      <c r="M862" s="94"/>
    </row>
    <row r="863" ht="40.5" customHeight="1">
      <c r="A863" s="27"/>
      <c r="B863" s="29"/>
      <c r="C863" s="166"/>
      <c r="D863" s="93"/>
      <c r="E863" s="166"/>
      <c r="F863" s="167"/>
      <c r="G863" s="168"/>
      <c r="H863" s="167"/>
      <c r="I863" s="41"/>
      <c r="J863" s="169"/>
      <c r="K863" s="48"/>
      <c r="L863" s="93"/>
      <c r="M863" s="94"/>
    </row>
    <row r="864" ht="40.5" customHeight="1">
      <c r="A864" s="27"/>
      <c r="B864" s="29"/>
      <c r="C864" s="166"/>
      <c r="D864" s="93"/>
      <c r="E864" s="166"/>
      <c r="F864" s="167"/>
      <c r="G864" s="168"/>
      <c r="H864" s="167"/>
      <c r="I864" s="41"/>
      <c r="J864" s="169"/>
      <c r="K864" s="48"/>
      <c r="L864" s="93"/>
      <c r="M864" s="94"/>
    </row>
    <row r="865" ht="40.5" customHeight="1">
      <c r="A865" s="27"/>
      <c r="B865" s="29"/>
      <c r="C865" s="166"/>
      <c r="D865" s="93"/>
      <c r="E865" s="166"/>
      <c r="F865" s="167"/>
      <c r="G865" s="168"/>
      <c r="H865" s="167"/>
      <c r="I865" s="41"/>
      <c r="J865" s="169"/>
      <c r="K865" s="48"/>
      <c r="L865" s="93"/>
      <c r="M865" s="94"/>
    </row>
    <row r="866" ht="40.5" customHeight="1">
      <c r="A866" s="27"/>
      <c r="B866" s="29"/>
      <c r="C866" s="166"/>
      <c r="D866" s="93"/>
      <c r="E866" s="166"/>
      <c r="F866" s="167"/>
      <c r="G866" s="168"/>
      <c r="H866" s="167"/>
      <c r="I866" s="41"/>
      <c r="J866" s="169"/>
      <c r="K866" s="48"/>
      <c r="L866" s="93"/>
      <c r="M866" s="94"/>
    </row>
    <row r="867" ht="40.5" customHeight="1">
      <c r="A867" s="27"/>
      <c r="B867" s="29"/>
      <c r="C867" s="166"/>
      <c r="D867" s="93"/>
      <c r="E867" s="166"/>
      <c r="F867" s="167"/>
      <c r="G867" s="168"/>
      <c r="H867" s="167"/>
      <c r="I867" s="41"/>
      <c r="J867" s="169"/>
      <c r="K867" s="48"/>
      <c r="L867" s="93"/>
      <c r="M867" s="94"/>
    </row>
    <row r="868" ht="40.5" customHeight="1">
      <c r="A868" s="27"/>
      <c r="B868" s="29"/>
      <c r="C868" s="166"/>
      <c r="D868" s="93"/>
      <c r="E868" s="166"/>
      <c r="F868" s="167"/>
      <c r="G868" s="168"/>
      <c r="H868" s="167"/>
      <c r="I868" s="41"/>
      <c r="J868" s="169"/>
      <c r="K868" s="48"/>
      <c r="L868" s="93"/>
      <c r="M868" s="94"/>
    </row>
    <row r="869" ht="40.5" customHeight="1">
      <c r="A869" s="27"/>
      <c r="B869" s="29"/>
      <c r="C869" s="166"/>
      <c r="D869" s="93"/>
      <c r="E869" s="166"/>
      <c r="F869" s="167"/>
      <c r="G869" s="168"/>
      <c r="H869" s="167"/>
      <c r="I869" s="41"/>
      <c r="J869" s="169"/>
      <c r="K869" s="48"/>
      <c r="L869" s="93"/>
      <c r="M869" s="94"/>
    </row>
    <row r="870" ht="40.5" customHeight="1">
      <c r="A870" s="27"/>
      <c r="B870" s="29"/>
      <c r="C870" s="166"/>
      <c r="D870" s="93"/>
      <c r="E870" s="166"/>
      <c r="F870" s="167"/>
      <c r="G870" s="168"/>
      <c r="H870" s="167"/>
      <c r="I870" s="41"/>
      <c r="J870" s="169"/>
      <c r="K870" s="48"/>
      <c r="L870" s="93"/>
      <c r="M870" s="94"/>
    </row>
    <row r="871" ht="40.5" customHeight="1">
      <c r="A871" s="27"/>
      <c r="B871" s="29"/>
      <c r="C871" s="166"/>
      <c r="D871" s="93"/>
      <c r="E871" s="166"/>
      <c r="F871" s="167"/>
      <c r="G871" s="168"/>
      <c r="H871" s="167"/>
      <c r="I871" s="41"/>
      <c r="J871" s="169"/>
      <c r="K871" s="48"/>
      <c r="L871" s="93"/>
      <c r="M871" s="94"/>
    </row>
    <row r="872" ht="40.5" customHeight="1">
      <c r="A872" s="27"/>
      <c r="B872" s="29"/>
      <c r="C872" s="166"/>
      <c r="D872" s="93"/>
      <c r="E872" s="166"/>
      <c r="F872" s="167"/>
      <c r="G872" s="168"/>
      <c r="H872" s="167"/>
      <c r="I872" s="41"/>
      <c r="J872" s="169"/>
      <c r="K872" s="48"/>
      <c r="L872" s="93"/>
      <c r="M872" s="94"/>
    </row>
    <row r="873" ht="40.5" customHeight="1">
      <c r="A873" s="27"/>
      <c r="B873" s="29"/>
      <c r="C873" s="166"/>
      <c r="D873" s="93"/>
      <c r="E873" s="166"/>
      <c r="F873" s="167"/>
      <c r="G873" s="168"/>
      <c r="H873" s="167"/>
      <c r="I873" s="41"/>
      <c r="J873" s="169"/>
      <c r="K873" s="48"/>
      <c r="L873" s="93"/>
      <c r="M873" s="94"/>
    </row>
    <row r="874" ht="40.5" customHeight="1">
      <c r="A874" s="27"/>
      <c r="B874" s="29"/>
      <c r="C874" s="166"/>
      <c r="D874" s="93"/>
      <c r="E874" s="166"/>
      <c r="F874" s="167"/>
      <c r="G874" s="168"/>
      <c r="H874" s="167"/>
      <c r="I874" s="41"/>
      <c r="J874" s="169"/>
      <c r="K874" s="48"/>
      <c r="L874" s="93"/>
      <c r="M874" s="94"/>
    </row>
    <row r="875" ht="40.5" customHeight="1">
      <c r="A875" s="27"/>
      <c r="B875" s="29"/>
      <c r="C875" s="166"/>
      <c r="D875" s="93"/>
      <c r="E875" s="166"/>
      <c r="F875" s="167"/>
      <c r="G875" s="168"/>
      <c r="H875" s="167"/>
      <c r="I875" s="41"/>
      <c r="J875" s="169"/>
      <c r="K875" s="48"/>
      <c r="L875" s="93"/>
      <c r="M875" s="94"/>
    </row>
    <row r="876" ht="40.5" customHeight="1">
      <c r="A876" s="27"/>
      <c r="B876" s="29"/>
      <c r="C876" s="166"/>
      <c r="D876" s="93"/>
      <c r="E876" s="166"/>
      <c r="F876" s="167"/>
      <c r="G876" s="168"/>
      <c r="H876" s="167"/>
      <c r="I876" s="41"/>
      <c r="J876" s="169"/>
      <c r="K876" s="48"/>
      <c r="L876" s="93"/>
      <c r="M876" s="94"/>
    </row>
    <row r="877" ht="40.5" customHeight="1">
      <c r="A877" s="27"/>
      <c r="B877" s="29"/>
      <c r="C877" s="166"/>
      <c r="D877" s="93"/>
      <c r="E877" s="166"/>
      <c r="F877" s="167"/>
      <c r="G877" s="168"/>
      <c r="H877" s="167"/>
      <c r="I877" s="41"/>
      <c r="J877" s="169"/>
      <c r="K877" s="48"/>
      <c r="L877" s="93"/>
      <c r="M877" s="94"/>
    </row>
    <row r="878" ht="40.5" customHeight="1">
      <c r="A878" s="27"/>
      <c r="B878" s="29"/>
      <c r="C878" s="166"/>
      <c r="D878" s="93"/>
      <c r="E878" s="166"/>
      <c r="F878" s="167"/>
      <c r="G878" s="168"/>
      <c r="H878" s="167"/>
      <c r="I878" s="41"/>
      <c r="J878" s="169"/>
      <c r="K878" s="48"/>
      <c r="L878" s="93"/>
      <c r="M878" s="94"/>
    </row>
    <row r="879" ht="40.5" customHeight="1">
      <c r="A879" s="27"/>
      <c r="B879" s="29"/>
      <c r="C879" s="166"/>
      <c r="D879" s="93"/>
      <c r="E879" s="166"/>
      <c r="F879" s="167"/>
      <c r="G879" s="168"/>
      <c r="H879" s="167"/>
      <c r="I879" s="41"/>
      <c r="J879" s="169"/>
      <c r="K879" s="48"/>
      <c r="L879" s="93"/>
      <c r="M879" s="94"/>
    </row>
    <row r="880" ht="40.5" customHeight="1">
      <c r="A880" s="27"/>
      <c r="B880" s="29"/>
      <c r="C880" s="166"/>
      <c r="D880" s="93"/>
      <c r="E880" s="166"/>
      <c r="F880" s="167"/>
      <c r="G880" s="168"/>
      <c r="H880" s="167"/>
      <c r="I880" s="41"/>
      <c r="J880" s="169"/>
      <c r="K880" s="48"/>
      <c r="L880" s="93"/>
      <c r="M880" s="94"/>
    </row>
    <row r="881" ht="40.5" customHeight="1">
      <c r="A881" s="27"/>
      <c r="B881" s="29"/>
      <c r="C881" s="166"/>
      <c r="D881" s="93"/>
      <c r="E881" s="166"/>
      <c r="F881" s="167"/>
      <c r="G881" s="168"/>
      <c r="H881" s="167"/>
      <c r="I881" s="41"/>
      <c r="J881" s="169"/>
      <c r="K881" s="48"/>
      <c r="L881" s="93"/>
      <c r="M881" s="94"/>
    </row>
    <row r="882" ht="40.5" customHeight="1">
      <c r="A882" s="27"/>
      <c r="B882" s="29"/>
      <c r="C882" s="166"/>
      <c r="D882" s="93"/>
      <c r="E882" s="166"/>
      <c r="F882" s="167"/>
      <c r="G882" s="168"/>
      <c r="H882" s="167"/>
      <c r="I882" s="41"/>
      <c r="J882" s="169"/>
      <c r="K882" s="48"/>
      <c r="L882" s="93"/>
      <c r="M882" s="94"/>
    </row>
    <row r="883" ht="40.5" customHeight="1">
      <c r="A883" s="27"/>
      <c r="B883" s="29"/>
      <c r="C883" s="166"/>
      <c r="D883" s="93"/>
      <c r="E883" s="166"/>
      <c r="F883" s="167"/>
      <c r="G883" s="168"/>
      <c r="H883" s="167"/>
      <c r="I883" s="41"/>
      <c r="J883" s="169"/>
      <c r="K883" s="48"/>
      <c r="L883" s="93"/>
      <c r="M883" s="94"/>
    </row>
    <row r="884" ht="40.5" customHeight="1">
      <c r="A884" s="27"/>
      <c r="B884" s="29"/>
      <c r="C884" s="166"/>
      <c r="D884" s="93"/>
      <c r="E884" s="166"/>
      <c r="F884" s="167"/>
      <c r="G884" s="168"/>
      <c r="H884" s="167"/>
      <c r="I884" s="41"/>
      <c r="J884" s="169"/>
      <c r="K884" s="48"/>
      <c r="L884" s="93"/>
      <c r="M884" s="94"/>
    </row>
    <row r="885" ht="40.5" customHeight="1">
      <c r="A885" s="27"/>
      <c r="B885" s="29"/>
      <c r="C885" s="166"/>
      <c r="D885" s="93"/>
      <c r="E885" s="166"/>
      <c r="F885" s="167"/>
      <c r="G885" s="168"/>
      <c r="H885" s="167"/>
      <c r="I885" s="41"/>
      <c r="J885" s="169"/>
      <c r="K885" s="48"/>
      <c r="L885" s="93"/>
      <c r="M885" s="94"/>
    </row>
    <row r="886" ht="40.5" customHeight="1">
      <c r="A886" s="27"/>
      <c r="B886" s="29"/>
      <c r="C886" s="166"/>
      <c r="D886" s="93"/>
      <c r="E886" s="166"/>
      <c r="F886" s="167"/>
      <c r="G886" s="168"/>
      <c r="H886" s="167"/>
      <c r="I886" s="41"/>
      <c r="J886" s="169"/>
      <c r="K886" s="48"/>
      <c r="L886" s="93"/>
      <c r="M886" s="94"/>
    </row>
    <row r="887" ht="40.5" customHeight="1">
      <c r="A887" s="27"/>
      <c r="B887" s="29"/>
      <c r="C887" s="166"/>
      <c r="D887" s="93"/>
      <c r="E887" s="166"/>
      <c r="F887" s="167"/>
      <c r="G887" s="168"/>
      <c r="H887" s="167"/>
      <c r="I887" s="41"/>
      <c r="J887" s="169"/>
      <c r="K887" s="48"/>
      <c r="L887" s="93"/>
      <c r="M887" s="94"/>
    </row>
    <row r="888" ht="40.5" customHeight="1">
      <c r="A888" s="27"/>
      <c r="B888" s="29"/>
      <c r="C888" s="166"/>
      <c r="D888" s="93"/>
      <c r="E888" s="166"/>
      <c r="F888" s="167"/>
      <c r="G888" s="168"/>
      <c r="H888" s="167"/>
      <c r="I888" s="41"/>
      <c r="J888" s="169"/>
      <c r="K888" s="48"/>
      <c r="L888" s="93"/>
      <c r="M888" s="94"/>
    </row>
    <row r="889" ht="40.5" customHeight="1">
      <c r="A889" s="27"/>
      <c r="B889" s="29"/>
      <c r="C889" s="166"/>
      <c r="D889" s="93"/>
      <c r="E889" s="166"/>
      <c r="F889" s="167"/>
      <c r="G889" s="168"/>
      <c r="H889" s="167"/>
      <c r="I889" s="41"/>
      <c r="J889" s="169"/>
      <c r="K889" s="48"/>
      <c r="L889" s="93"/>
      <c r="M889" s="94"/>
    </row>
    <row r="890" ht="40.5" customHeight="1">
      <c r="A890" s="27"/>
      <c r="B890" s="29"/>
      <c r="C890" s="166"/>
      <c r="D890" s="93"/>
      <c r="E890" s="166"/>
      <c r="F890" s="167"/>
      <c r="G890" s="168"/>
      <c r="H890" s="167"/>
      <c r="I890" s="41"/>
      <c r="J890" s="169"/>
      <c r="K890" s="48"/>
      <c r="L890" s="93"/>
      <c r="M890" s="94"/>
    </row>
    <row r="891" ht="40.5" customHeight="1">
      <c r="A891" s="27"/>
      <c r="B891" s="29"/>
      <c r="C891" s="166"/>
      <c r="D891" s="93"/>
      <c r="E891" s="166"/>
      <c r="F891" s="167"/>
      <c r="G891" s="168"/>
      <c r="H891" s="167"/>
      <c r="I891" s="41"/>
      <c r="J891" s="169"/>
      <c r="K891" s="48"/>
      <c r="L891" s="93"/>
      <c r="M891" s="94"/>
    </row>
    <row r="892" ht="40.5" customHeight="1">
      <c r="A892" s="27"/>
      <c r="B892" s="29"/>
      <c r="C892" s="166"/>
      <c r="D892" s="93"/>
      <c r="E892" s="166"/>
      <c r="F892" s="167"/>
      <c r="G892" s="168"/>
      <c r="H892" s="167"/>
      <c r="I892" s="41"/>
      <c r="J892" s="169"/>
      <c r="K892" s="48"/>
      <c r="L892" s="93"/>
      <c r="M892" s="94"/>
    </row>
    <row r="893" ht="40.5" customHeight="1">
      <c r="A893" s="27"/>
      <c r="B893" s="29"/>
      <c r="C893" s="166"/>
      <c r="D893" s="93"/>
      <c r="E893" s="166"/>
      <c r="F893" s="167"/>
      <c r="G893" s="168"/>
      <c r="H893" s="167"/>
      <c r="I893" s="41"/>
      <c r="J893" s="169"/>
      <c r="K893" s="48"/>
      <c r="L893" s="93"/>
      <c r="M893" s="94"/>
    </row>
    <row r="894" ht="40.5" customHeight="1">
      <c r="A894" s="27"/>
      <c r="B894" s="29"/>
      <c r="C894" s="166"/>
      <c r="D894" s="93"/>
      <c r="E894" s="166"/>
      <c r="F894" s="167"/>
      <c r="G894" s="168"/>
      <c r="H894" s="167"/>
      <c r="I894" s="41"/>
      <c r="J894" s="169"/>
      <c r="K894" s="48"/>
      <c r="L894" s="93"/>
      <c r="M894" s="94"/>
    </row>
    <row r="895" ht="40.5" customHeight="1">
      <c r="A895" s="27"/>
      <c r="B895" s="29"/>
      <c r="C895" s="166"/>
      <c r="D895" s="93"/>
      <c r="E895" s="166"/>
      <c r="F895" s="167"/>
      <c r="G895" s="168"/>
      <c r="H895" s="167"/>
      <c r="I895" s="41"/>
      <c r="J895" s="169"/>
      <c r="K895" s="48"/>
      <c r="L895" s="93"/>
      <c r="M895" s="94"/>
    </row>
    <row r="896" ht="40.5" customHeight="1">
      <c r="A896" s="27"/>
      <c r="B896" s="29"/>
      <c r="C896" s="166"/>
      <c r="D896" s="93"/>
      <c r="E896" s="166"/>
      <c r="F896" s="167"/>
      <c r="G896" s="168"/>
      <c r="H896" s="167"/>
      <c r="I896" s="41"/>
      <c r="J896" s="169"/>
      <c r="K896" s="48"/>
      <c r="L896" s="93"/>
      <c r="M896" s="94"/>
    </row>
    <row r="897" ht="40.5" customHeight="1">
      <c r="A897" s="27"/>
      <c r="B897" s="29"/>
      <c r="C897" s="166"/>
      <c r="D897" s="93"/>
      <c r="E897" s="166"/>
      <c r="F897" s="167"/>
      <c r="G897" s="168"/>
      <c r="H897" s="167"/>
      <c r="I897" s="41"/>
      <c r="J897" s="169"/>
      <c r="K897" s="48"/>
      <c r="L897" s="93"/>
      <c r="M897" s="94"/>
    </row>
    <row r="898" ht="40.5" customHeight="1">
      <c r="A898" s="27"/>
      <c r="B898" s="29"/>
      <c r="C898" s="166"/>
      <c r="D898" s="93"/>
      <c r="E898" s="166"/>
      <c r="F898" s="167"/>
      <c r="G898" s="168"/>
      <c r="H898" s="167"/>
      <c r="I898" s="41"/>
      <c r="J898" s="169"/>
      <c r="K898" s="48"/>
      <c r="L898" s="93"/>
      <c r="M898" s="94"/>
    </row>
    <row r="899" ht="40.5" customHeight="1">
      <c r="A899" s="27"/>
      <c r="B899" s="29"/>
      <c r="C899" s="166"/>
      <c r="D899" s="93"/>
      <c r="E899" s="166"/>
      <c r="F899" s="167"/>
      <c r="G899" s="168"/>
      <c r="H899" s="167"/>
      <c r="I899" s="41"/>
      <c r="J899" s="169"/>
      <c r="K899" s="48"/>
      <c r="L899" s="93"/>
      <c r="M899" s="94"/>
    </row>
    <row r="900" ht="40.5" customHeight="1">
      <c r="A900" s="27"/>
      <c r="B900" s="29"/>
      <c r="C900" s="166"/>
      <c r="D900" s="93"/>
      <c r="E900" s="166"/>
      <c r="F900" s="167"/>
      <c r="G900" s="168"/>
      <c r="H900" s="167"/>
      <c r="I900" s="41"/>
      <c r="J900" s="169"/>
      <c r="K900" s="48"/>
      <c r="L900" s="93"/>
      <c r="M900" s="94"/>
    </row>
    <row r="901" ht="40.5" customHeight="1">
      <c r="A901" s="27"/>
      <c r="B901" s="29"/>
      <c r="C901" s="166"/>
      <c r="D901" s="93"/>
      <c r="E901" s="166"/>
      <c r="F901" s="167"/>
      <c r="G901" s="168"/>
      <c r="H901" s="167"/>
      <c r="I901" s="41"/>
      <c r="J901" s="169"/>
      <c r="K901" s="48"/>
      <c r="L901" s="93"/>
      <c r="M901" s="94"/>
    </row>
    <row r="902" ht="40.5" customHeight="1">
      <c r="A902" s="27"/>
      <c r="B902" s="29"/>
      <c r="C902" s="166"/>
      <c r="D902" s="93"/>
      <c r="E902" s="166"/>
      <c r="F902" s="167"/>
      <c r="G902" s="168"/>
      <c r="H902" s="167"/>
      <c r="I902" s="41"/>
      <c r="J902" s="169"/>
      <c r="K902" s="48"/>
      <c r="L902" s="93"/>
      <c r="M902" s="94"/>
    </row>
    <row r="903" ht="40.5" customHeight="1">
      <c r="A903" s="27"/>
      <c r="B903" s="29"/>
      <c r="C903" s="166"/>
      <c r="D903" s="93"/>
      <c r="E903" s="166"/>
      <c r="F903" s="167"/>
      <c r="G903" s="168"/>
      <c r="H903" s="167"/>
      <c r="I903" s="41"/>
      <c r="J903" s="169"/>
      <c r="K903" s="48"/>
      <c r="L903" s="93"/>
      <c r="M903" s="94"/>
    </row>
    <row r="904" ht="40.5" customHeight="1">
      <c r="A904" s="27"/>
      <c r="B904" s="29"/>
      <c r="C904" s="166"/>
      <c r="D904" s="93"/>
      <c r="E904" s="166"/>
      <c r="F904" s="167"/>
      <c r="G904" s="168"/>
      <c r="H904" s="167"/>
      <c r="I904" s="41"/>
      <c r="J904" s="169"/>
      <c r="K904" s="48"/>
      <c r="L904" s="93"/>
      <c r="M904" s="94"/>
    </row>
    <row r="905" ht="40.5" customHeight="1">
      <c r="A905" s="27"/>
      <c r="B905" s="29"/>
      <c r="C905" s="166"/>
      <c r="D905" s="93"/>
      <c r="E905" s="166"/>
      <c r="F905" s="167"/>
      <c r="G905" s="168"/>
      <c r="H905" s="167"/>
      <c r="I905" s="41"/>
      <c r="J905" s="169"/>
      <c r="K905" s="48"/>
      <c r="L905" s="93"/>
      <c r="M905" s="94"/>
    </row>
    <row r="906" ht="40.5" customHeight="1">
      <c r="A906" s="27"/>
      <c r="B906" s="29"/>
      <c r="C906" s="166"/>
      <c r="D906" s="93"/>
      <c r="E906" s="166"/>
      <c r="F906" s="167"/>
      <c r="G906" s="168"/>
      <c r="H906" s="167"/>
      <c r="I906" s="41"/>
      <c r="J906" s="169"/>
      <c r="K906" s="48"/>
      <c r="L906" s="93"/>
      <c r="M906" s="94"/>
    </row>
    <row r="907" ht="40.5" customHeight="1">
      <c r="A907" s="27"/>
      <c r="B907" s="29"/>
      <c r="C907" s="166"/>
      <c r="D907" s="93"/>
      <c r="E907" s="166"/>
      <c r="F907" s="167"/>
      <c r="G907" s="168"/>
      <c r="H907" s="167"/>
      <c r="I907" s="41"/>
      <c r="J907" s="169"/>
      <c r="K907" s="48"/>
      <c r="L907" s="93"/>
      <c r="M907" s="94"/>
    </row>
    <row r="908" ht="40.5" customHeight="1">
      <c r="A908" s="27"/>
      <c r="B908" s="29"/>
      <c r="C908" s="166"/>
      <c r="D908" s="93"/>
      <c r="E908" s="166"/>
      <c r="F908" s="167"/>
      <c r="G908" s="168"/>
      <c r="H908" s="167"/>
      <c r="I908" s="41"/>
      <c r="J908" s="169"/>
      <c r="K908" s="48"/>
      <c r="L908" s="93"/>
      <c r="M908" s="94"/>
    </row>
    <row r="909" ht="40.5" customHeight="1">
      <c r="A909" s="27"/>
      <c r="B909" s="29"/>
      <c r="C909" s="166"/>
      <c r="D909" s="93"/>
      <c r="E909" s="166"/>
      <c r="F909" s="167"/>
      <c r="G909" s="168"/>
      <c r="H909" s="167"/>
      <c r="I909" s="41"/>
      <c r="J909" s="169"/>
      <c r="K909" s="48"/>
      <c r="L909" s="93"/>
      <c r="M909" s="94"/>
    </row>
    <row r="910" ht="40.5" customHeight="1">
      <c r="A910" s="27"/>
      <c r="B910" s="29"/>
      <c r="C910" s="166"/>
      <c r="D910" s="93"/>
      <c r="E910" s="166"/>
      <c r="F910" s="167"/>
      <c r="G910" s="168"/>
      <c r="H910" s="167"/>
      <c r="I910" s="41"/>
      <c r="J910" s="169"/>
      <c r="K910" s="48"/>
      <c r="L910" s="93"/>
      <c r="M910" s="94"/>
    </row>
    <row r="911" ht="40.5" customHeight="1">
      <c r="A911" s="27"/>
      <c r="B911" s="29"/>
      <c r="C911" s="166"/>
      <c r="D911" s="93"/>
      <c r="E911" s="166"/>
      <c r="F911" s="167"/>
      <c r="G911" s="168"/>
      <c r="H911" s="167"/>
      <c r="I911" s="41"/>
      <c r="J911" s="169"/>
      <c r="K911" s="48"/>
      <c r="L911" s="93"/>
      <c r="M911" s="94"/>
    </row>
    <row r="912" ht="40.5" customHeight="1">
      <c r="A912" s="27"/>
      <c r="B912" s="29"/>
      <c r="C912" s="166"/>
      <c r="D912" s="93"/>
      <c r="E912" s="166"/>
      <c r="F912" s="167"/>
      <c r="G912" s="168"/>
      <c r="H912" s="167"/>
      <c r="I912" s="41"/>
      <c r="J912" s="169"/>
      <c r="K912" s="48"/>
      <c r="L912" s="93"/>
      <c r="M912" s="94"/>
    </row>
    <row r="913" ht="40.5" customHeight="1">
      <c r="A913" s="27"/>
      <c r="B913" s="29"/>
      <c r="C913" s="166"/>
      <c r="D913" s="93"/>
      <c r="E913" s="166"/>
      <c r="F913" s="167"/>
      <c r="G913" s="168"/>
      <c r="H913" s="167"/>
      <c r="I913" s="41"/>
      <c r="J913" s="169"/>
      <c r="K913" s="48"/>
      <c r="L913" s="93"/>
      <c r="M913" s="94"/>
    </row>
    <row r="914" ht="40.5" customHeight="1">
      <c r="A914" s="27"/>
      <c r="B914" s="29"/>
      <c r="C914" s="166"/>
      <c r="D914" s="93"/>
      <c r="E914" s="166"/>
      <c r="F914" s="167"/>
      <c r="G914" s="168"/>
      <c r="H914" s="167"/>
      <c r="I914" s="41"/>
      <c r="J914" s="169"/>
      <c r="K914" s="48"/>
      <c r="L914" s="93"/>
      <c r="M914" s="94"/>
    </row>
    <row r="915" ht="40.5" customHeight="1">
      <c r="A915" s="27"/>
      <c r="B915" s="29"/>
      <c r="C915" s="166"/>
      <c r="D915" s="93"/>
      <c r="E915" s="166"/>
      <c r="F915" s="167"/>
      <c r="G915" s="168"/>
      <c r="H915" s="167"/>
      <c r="I915" s="41"/>
      <c r="J915" s="169"/>
      <c r="K915" s="48"/>
      <c r="L915" s="93"/>
      <c r="M915" s="94"/>
    </row>
    <row r="916" ht="40.5" customHeight="1">
      <c r="A916" s="27"/>
      <c r="B916" s="29"/>
      <c r="C916" s="166"/>
      <c r="D916" s="93"/>
      <c r="E916" s="166"/>
      <c r="F916" s="167"/>
      <c r="G916" s="168"/>
      <c r="H916" s="167"/>
      <c r="I916" s="41"/>
      <c r="J916" s="169"/>
      <c r="K916" s="48"/>
      <c r="L916" s="93"/>
      <c r="M916" s="94"/>
    </row>
    <row r="917" ht="40.5" customHeight="1">
      <c r="A917" s="27"/>
      <c r="B917" s="29"/>
      <c r="C917" s="166"/>
      <c r="D917" s="93"/>
      <c r="E917" s="166"/>
      <c r="F917" s="167"/>
      <c r="G917" s="168"/>
      <c r="H917" s="167"/>
      <c r="I917" s="41"/>
      <c r="J917" s="169"/>
      <c r="K917" s="48"/>
      <c r="L917" s="93"/>
      <c r="M917" s="94"/>
    </row>
    <row r="918" ht="40.5" customHeight="1">
      <c r="A918" s="27"/>
      <c r="B918" s="29"/>
      <c r="C918" s="166"/>
      <c r="D918" s="93"/>
      <c r="E918" s="166"/>
      <c r="F918" s="167"/>
      <c r="G918" s="168"/>
      <c r="H918" s="167"/>
      <c r="I918" s="41"/>
      <c r="J918" s="169"/>
      <c r="K918" s="48"/>
      <c r="L918" s="93"/>
      <c r="M918" s="94"/>
    </row>
    <row r="919" ht="40.5" customHeight="1">
      <c r="A919" s="27"/>
      <c r="B919" s="29"/>
      <c r="C919" s="166"/>
      <c r="D919" s="93"/>
      <c r="E919" s="166"/>
      <c r="F919" s="167"/>
      <c r="G919" s="168"/>
      <c r="H919" s="167"/>
      <c r="I919" s="41"/>
      <c r="J919" s="169"/>
      <c r="K919" s="48"/>
      <c r="L919" s="93"/>
      <c r="M919" s="94"/>
    </row>
    <row r="920" ht="40.5" customHeight="1">
      <c r="A920" s="27"/>
      <c r="B920" s="29"/>
      <c r="C920" s="166"/>
      <c r="D920" s="93"/>
      <c r="E920" s="166"/>
      <c r="F920" s="167"/>
      <c r="G920" s="168"/>
      <c r="H920" s="167"/>
      <c r="I920" s="41"/>
      <c r="J920" s="169"/>
      <c r="K920" s="48"/>
      <c r="L920" s="93"/>
      <c r="M920" s="94"/>
    </row>
    <row r="921" ht="40.5" customHeight="1">
      <c r="A921" s="27"/>
      <c r="B921" s="29"/>
      <c r="C921" s="166"/>
      <c r="D921" s="93"/>
      <c r="E921" s="166"/>
      <c r="F921" s="167"/>
      <c r="G921" s="168"/>
      <c r="H921" s="167"/>
      <c r="I921" s="41"/>
      <c r="J921" s="169"/>
      <c r="K921" s="48"/>
      <c r="L921" s="93"/>
      <c r="M921" s="94"/>
    </row>
    <row r="922" ht="40.5" customHeight="1">
      <c r="A922" s="27"/>
      <c r="B922" s="29"/>
      <c r="C922" s="166"/>
      <c r="D922" s="93"/>
      <c r="E922" s="166"/>
      <c r="F922" s="167"/>
      <c r="G922" s="168"/>
      <c r="H922" s="167"/>
      <c r="I922" s="41"/>
      <c r="J922" s="169"/>
      <c r="K922" s="48"/>
      <c r="L922" s="93"/>
      <c r="M922" s="94"/>
    </row>
    <row r="923" ht="40.5" customHeight="1">
      <c r="A923" s="27"/>
      <c r="B923" s="29"/>
      <c r="C923" s="166"/>
      <c r="D923" s="93"/>
      <c r="E923" s="166"/>
      <c r="F923" s="167"/>
      <c r="G923" s="168"/>
      <c r="H923" s="167"/>
      <c r="I923" s="41"/>
      <c r="J923" s="169"/>
      <c r="K923" s="48"/>
      <c r="L923" s="93"/>
      <c r="M923" s="94"/>
    </row>
    <row r="924" ht="40.5" customHeight="1">
      <c r="A924" s="27"/>
      <c r="B924" s="29"/>
      <c r="C924" s="166"/>
      <c r="D924" s="93"/>
      <c r="E924" s="166"/>
      <c r="F924" s="167"/>
      <c r="G924" s="168"/>
      <c r="H924" s="167"/>
      <c r="I924" s="41"/>
      <c r="J924" s="169"/>
      <c r="K924" s="48"/>
      <c r="L924" s="93"/>
      <c r="M924" s="94"/>
    </row>
    <row r="925" ht="40.5" customHeight="1">
      <c r="A925" s="27"/>
      <c r="B925" s="29"/>
      <c r="C925" s="166"/>
      <c r="D925" s="93"/>
      <c r="E925" s="166"/>
      <c r="F925" s="167"/>
      <c r="G925" s="168"/>
      <c r="H925" s="167"/>
      <c r="I925" s="41"/>
      <c r="J925" s="169"/>
      <c r="K925" s="48"/>
      <c r="L925" s="93"/>
      <c r="M925" s="94"/>
    </row>
    <row r="926" ht="40.5" customHeight="1">
      <c r="A926" s="27"/>
      <c r="B926" s="29"/>
      <c r="C926" s="166"/>
      <c r="D926" s="93"/>
      <c r="E926" s="166"/>
      <c r="F926" s="167"/>
      <c r="G926" s="168"/>
      <c r="H926" s="167"/>
      <c r="I926" s="41"/>
      <c r="J926" s="169"/>
      <c r="K926" s="48"/>
      <c r="L926" s="93"/>
      <c r="M926" s="94"/>
    </row>
    <row r="927" ht="40.5" customHeight="1">
      <c r="A927" s="27"/>
      <c r="B927" s="29"/>
      <c r="C927" s="166"/>
      <c r="D927" s="93"/>
      <c r="E927" s="166"/>
      <c r="F927" s="167"/>
      <c r="G927" s="168"/>
      <c r="H927" s="167"/>
      <c r="I927" s="41"/>
      <c r="J927" s="169"/>
      <c r="K927" s="48"/>
      <c r="L927" s="93"/>
      <c r="M927" s="94"/>
    </row>
    <row r="928" ht="40.5" customHeight="1">
      <c r="A928" s="27"/>
      <c r="B928" s="29"/>
      <c r="C928" s="166"/>
      <c r="D928" s="93"/>
      <c r="E928" s="166"/>
      <c r="F928" s="167"/>
      <c r="G928" s="168"/>
      <c r="H928" s="167"/>
      <c r="I928" s="41"/>
      <c r="J928" s="169"/>
      <c r="K928" s="48"/>
      <c r="L928" s="93"/>
      <c r="M928" s="94"/>
    </row>
    <row r="929" ht="40.5" customHeight="1">
      <c r="A929" s="27"/>
      <c r="B929" s="29"/>
      <c r="C929" s="166"/>
      <c r="D929" s="93"/>
      <c r="E929" s="166"/>
      <c r="F929" s="167"/>
      <c r="G929" s="168"/>
      <c r="H929" s="167"/>
      <c r="I929" s="41"/>
      <c r="J929" s="169"/>
      <c r="K929" s="48"/>
      <c r="L929" s="93"/>
      <c r="M929" s="94"/>
    </row>
    <row r="930" ht="40.5" customHeight="1">
      <c r="A930" s="27"/>
      <c r="B930" s="29"/>
      <c r="C930" s="166"/>
      <c r="D930" s="93"/>
      <c r="E930" s="166"/>
      <c r="F930" s="167"/>
      <c r="G930" s="168"/>
      <c r="H930" s="167"/>
      <c r="I930" s="41"/>
      <c r="J930" s="169"/>
      <c r="K930" s="48"/>
      <c r="L930" s="93"/>
      <c r="M930" s="94"/>
    </row>
    <row r="931" ht="40.5" customHeight="1">
      <c r="A931" s="27"/>
      <c r="B931" s="29"/>
      <c r="C931" s="166"/>
      <c r="D931" s="93"/>
      <c r="E931" s="166"/>
      <c r="F931" s="167"/>
      <c r="G931" s="168"/>
      <c r="H931" s="167"/>
      <c r="I931" s="41"/>
      <c r="J931" s="169"/>
      <c r="K931" s="48"/>
      <c r="L931" s="93"/>
      <c r="M931" s="94"/>
    </row>
    <row r="932" ht="40.5" customHeight="1">
      <c r="A932" s="27"/>
      <c r="B932" s="29"/>
      <c r="C932" s="166"/>
      <c r="D932" s="93"/>
      <c r="E932" s="166"/>
      <c r="F932" s="167"/>
      <c r="G932" s="168"/>
      <c r="H932" s="167"/>
      <c r="I932" s="41"/>
      <c r="J932" s="169"/>
      <c r="K932" s="48"/>
      <c r="L932" s="93"/>
      <c r="M932" s="94"/>
    </row>
    <row r="933" ht="40.5" customHeight="1">
      <c r="A933" s="27"/>
      <c r="B933" s="29"/>
      <c r="C933" s="166"/>
      <c r="D933" s="93"/>
      <c r="E933" s="166"/>
      <c r="F933" s="167"/>
      <c r="G933" s="168"/>
      <c r="H933" s="167"/>
      <c r="I933" s="41"/>
      <c r="J933" s="169"/>
      <c r="K933" s="48"/>
      <c r="L933" s="93"/>
      <c r="M933" s="94"/>
    </row>
    <row r="934" ht="40.5" customHeight="1">
      <c r="A934" s="27"/>
      <c r="B934" s="29"/>
      <c r="C934" s="166"/>
      <c r="D934" s="93"/>
      <c r="E934" s="166"/>
      <c r="F934" s="167"/>
      <c r="G934" s="168"/>
      <c r="H934" s="167"/>
      <c r="I934" s="41"/>
      <c r="J934" s="169"/>
      <c r="K934" s="48"/>
      <c r="L934" s="93"/>
      <c r="M934" s="94"/>
    </row>
    <row r="935" ht="40.5" customHeight="1">
      <c r="A935" s="27"/>
      <c r="B935" s="29"/>
      <c r="C935" s="166"/>
      <c r="D935" s="93"/>
      <c r="E935" s="166"/>
      <c r="F935" s="167"/>
      <c r="G935" s="168"/>
      <c r="H935" s="167"/>
      <c r="I935" s="41"/>
      <c r="J935" s="169"/>
      <c r="K935" s="48"/>
      <c r="L935" s="93"/>
      <c r="M935" s="94"/>
    </row>
    <row r="936" ht="40.5" customHeight="1">
      <c r="A936" s="27"/>
      <c r="B936" s="29"/>
      <c r="C936" s="166"/>
      <c r="D936" s="93"/>
      <c r="E936" s="166"/>
      <c r="F936" s="167"/>
      <c r="G936" s="168"/>
      <c r="H936" s="167"/>
      <c r="I936" s="41"/>
      <c r="J936" s="169"/>
      <c r="K936" s="48"/>
      <c r="L936" s="93"/>
      <c r="M936" s="94"/>
    </row>
    <row r="937" ht="40.5" customHeight="1">
      <c r="A937" s="27"/>
      <c r="B937" s="29"/>
      <c r="C937" s="166"/>
      <c r="D937" s="93"/>
      <c r="E937" s="166"/>
      <c r="F937" s="167"/>
      <c r="G937" s="168"/>
      <c r="H937" s="167"/>
      <c r="I937" s="41"/>
      <c r="J937" s="169"/>
      <c r="K937" s="48"/>
      <c r="L937" s="93"/>
      <c r="M937" s="94"/>
    </row>
    <row r="938" ht="40.5" customHeight="1">
      <c r="A938" s="27"/>
      <c r="B938" s="29"/>
      <c r="C938" s="166"/>
      <c r="D938" s="93"/>
      <c r="E938" s="166"/>
      <c r="F938" s="167"/>
      <c r="G938" s="168"/>
      <c r="H938" s="167"/>
      <c r="I938" s="41"/>
      <c r="J938" s="169"/>
      <c r="K938" s="48"/>
      <c r="L938" s="93"/>
      <c r="M938" s="94"/>
    </row>
    <row r="939" ht="40.5" customHeight="1">
      <c r="A939" s="27"/>
      <c r="B939" s="29"/>
      <c r="C939" s="166"/>
      <c r="D939" s="93"/>
      <c r="E939" s="166"/>
      <c r="F939" s="167"/>
      <c r="G939" s="168"/>
      <c r="H939" s="167"/>
      <c r="I939" s="41"/>
      <c r="J939" s="169"/>
      <c r="K939" s="48"/>
      <c r="L939" s="93"/>
      <c r="M939" s="94"/>
    </row>
    <row r="940" ht="40.5" customHeight="1">
      <c r="A940" s="27"/>
      <c r="B940" s="29"/>
      <c r="C940" s="166"/>
      <c r="D940" s="93"/>
      <c r="E940" s="166"/>
      <c r="F940" s="167"/>
      <c r="G940" s="168"/>
      <c r="H940" s="167"/>
      <c r="I940" s="41"/>
      <c r="J940" s="169"/>
      <c r="K940" s="48"/>
      <c r="L940" s="93"/>
      <c r="M940" s="94"/>
    </row>
    <row r="941" ht="40.5" customHeight="1">
      <c r="A941" s="27"/>
      <c r="B941" s="29"/>
      <c r="C941" s="166"/>
      <c r="D941" s="93"/>
      <c r="E941" s="166"/>
      <c r="F941" s="167"/>
      <c r="G941" s="168"/>
      <c r="H941" s="167"/>
      <c r="I941" s="41"/>
      <c r="J941" s="169"/>
      <c r="K941" s="48"/>
      <c r="L941" s="93"/>
      <c r="M941" s="94"/>
    </row>
    <row r="942" ht="40.5" customHeight="1">
      <c r="A942" s="27"/>
      <c r="B942" s="29"/>
      <c r="C942" s="166"/>
      <c r="D942" s="93"/>
      <c r="E942" s="166"/>
      <c r="F942" s="167"/>
      <c r="G942" s="168"/>
      <c r="H942" s="167"/>
      <c r="I942" s="41"/>
      <c r="J942" s="169"/>
      <c r="K942" s="48"/>
      <c r="L942" s="93"/>
      <c r="M942" s="94"/>
    </row>
    <row r="943" ht="40.5" customHeight="1">
      <c r="A943" s="27"/>
      <c r="B943" s="29"/>
      <c r="C943" s="166"/>
      <c r="D943" s="93"/>
      <c r="E943" s="166"/>
      <c r="F943" s="167"/>
      <c r="G943" s="168"/>
      <c r="H943" s="167"/>
      <c r="I943" s="41"/>
      <c r="J943" s="169"/>
      <c r="K943" s="48"/>
      <c r="L943" s="93"/>
      <c r="M943" s="94"/>
    </row>
    <row r="944" ht="40.5" customHeight="1">
      <c r="A944" s="27"/>
      <c r="B944" s="29"/>
      <c r="C944" s="166"/>
      <c r="D944" s="93"/>
      <c r="E944" s="166"/>
      <c r="F944" s="167"/>
      <c r="G944" s="168"/>
      <c r="H944" s="167"/>
      <c r="I944" s="41"/>
      <c r="J944" s="169"/>
      <c r="K944" s="48"/>
      <c r="L944" s="93"/>
      <c r="M944" s="94"/>
    </row>
    <row r="945" ht="40.5" customHeight="1">
      <c r="A945" s="27"/>
      <c r="B945" s="29"/>
      <c r="C945" s="166"/>
      <c r="D945" s="93"/>
      <c r="E945" s="166"/>
      <c r="F945" s="167"/>
      <c r="G945" s="168"/>
      <c r="H945" s="167"/>
      <c r="I945" s="41"/>
      <c r="J945" s="169"/>
      <c r="K945" s="48"/>
      <c r="L945" s="93"/>
      <c r="M945" s="94"/>
    </row>
    <row r="946" ht="40.5" customHeight="1">
      <c r="A946" s="27"/>
      <c r="B946" s="29"/>
      <c r="C946" s="166"/>
      <c r="D946" s="93"/>
      <c r="E946" s="166"/>
      <c r="F946" s="167"/>
      <c r="G946" s="168"/>
      <c r="H946" s="167"/>
      <c r="I946" s="41"/>
      <c r="J946" s="169"/>
      <c r="K946" s="48"/>
      <c r="L946" s="93"/>
      <c r="M946" s="94"/>
    </row>
    <row r="947" ht="40.5" customHeight="1">
      <c r="A947" s="27"/>
      <c r="B947" s="29"/>
      <c r="C947" s="166"/>
      <c r="D947" s="93"/>
      <c r="E947" s="166"/>
      <c r="F947" s="167"/>
      <c r="G947" s="168"/>
      <c r="H947" s="167"/>
      <c r="I947" s="41"/>
      <c r="J947" s="169"/>
      <c r="K947" s="48"/>
      <c r="L947" s="93"/>
      <c r="M947" s="94"/>
    </row>
    <row r="948" ht="40.5" customHeight="1">
      <c r="A948" s="27"/>
      <c r="B948" s="29"/>
      <c r="C948" s="166"/>
      <c r="D948" s="93"/>
      <c r="E948" s="166"/>
      <c r="F948" s="167"/>
      <c r="G948" s="168"/>
      <c r="H948" s="167"/>
      <c r="I948" s="41"/>
      <c r="J948" s="169"/>
      <c r="K948" s="48"/>
      <c r="L948" s="93"/>
      <c r="M948" s="94"/>
    </row>
    <row r="949" ht="40.5" customHeight="1">
      <c r="A949" s="27"/>
      <c r="B949" s="29"/>
      <c r="C949" s="166"/>
      <c r="D949" s="93"/>
      <c r="E949" s="166"/>
      <c r="F949" s="167"/>
      <c r="G949" s="168"/>
      <c r="H949" s="167"/>
      <c r="I949" s="41"/>
      <c r="J949" s="169"/>
      <c r="K949" s="48"/>
      <c r="L949" s="93"/>
      <c r="M949" s="94"/>
    </row>
    <row r="950" ht="40.5" customHeight="1">
      <c r="A950" s="27"/>
      <c r="B950" s="29"/>
      <c r="C950" s="166"/>
      <c r="D950" s="93"/>
      <c r="E950" s="166"/>
      <c r="F950" s="167"/>
      <c r="G950" s="168"/>
      <c r="H950" s="167"/>
      <c r="I950" s="41"/>
      <c r="J950" s="169"/>
      <c r="K950" s="48"/>
      <c r="L950" s="93"/>
      <c r="M950" s="94"/>
    </row>
    <row r="951" ht="40.5" customHeight="1">
      <c r="A951" s="27"/>
      <c r="B951" s="29"/>
      <c r="C951" s="166"/>
      <c r="D951" s="93"/>
      <c r="E951" s="166"/>
      <c r="F951" s="167"/>
      <c r="G951" s="168"/>
      <c r="H951" s="167"/>
      <c r="I951" s="41"/>
      <c r="J951" s="169"/>
      <c r="K951" s="48"/>
      <c r="L951" s="93"/>
      <c r="M951" s="94"/>
    </row>
    <row r="952" ht="40.5" customHeight="1">
      <c r="A952" s="27"/>
      <c r="B952" s="29"/>
      <c r="C952" s="166"/>
      <c r="D952" s="93"/>
      <c r="E952" s="166"/>
      <c r="F952" s="167"/>
      <c r="G952" s="168"/>
      <c r="H952" s="167"/>
      <c r="I952" s="41"/>
      <c r="J952" s="169"/>
      <c r="K952" s="48"/>
      <c r="L952" s="93"/>
      <c r="M952" s="94"/>
    </row>
    <row r="953" ht="40.5" customHeight="1">
      <c r="A953" s="27"/>
      <c r="B953" s="29"/>
      <c r="C953" s="166"/>
      <c r="D953" s="93"/>
      <c r="E953" s="166"/>
      <c r="F953" s="167"/>
      <c r="G953" s="168"/>
      <c r="H953" s="167"/>
      <c r="I953" s="41"/>
      <c r="J953" s="169"/>
      <c r="K953" s="48"/>
      <c r="L953" s="93"/>
      <c r="M953" s="94"/>
    </row>
    <row r="954" ht="40.5" customHeight="1">
      <c r="A954" s="27"/>
      <c r="B954" s="29"/>
      <c r="C954" s="166"/>
      <c r="D954" s="93"/>
      <c r="E954" s="166"/>
      <c r="F954" s="167"/>
      <c r="G954" s="168"/>
      <c r="H954" s="167"/>
      <c r="I954" s="41"/>
      <c r="J954" s="169"/>
      <c r="K954" s="48"/>
      <c r="L954" s="93"/>
      <c r="M954" s="94"/>
    </row>
    <row r="955" ht="40.5" customHeight="1">
      <c r="A955" s="27"/>
      <c r="B955" s="29"/>
      <c r="C955" s="166"/>
      <c r="D955" s="93"/>
      <c r="E955" s="166"/>
      <c r="F955" s="167"/>
      <c r="G955" s="168"/>
      <c r="H955" s="167"/>
      <c r="I955" s="41"/>
      <c r="J955" s="169"/>
      <c r="K955" s="48"/>
      <c r="L955" s="93"/>
      <c r="M955" s="94"/>
    </row>
    <row r="956" ht="40.5" customHeight="1">
      <c r="A956" s="27"/>
      <c r="B956" s="29"/>
      <c r="C956" s="166"/>
      <c r="D956" s="93"/>
      <c r="E956" s="166"/>
      <c r="F956" s="167"/>
      <c r="G956" s="168"/>
      <c r="H956" s="167"/>
      <c r="I956" s="41"/>
      <c r="J956" s="169"/>
      <c r="K956" s="48"/>
      <c r="L956" s="93"/>
      <c r="M956" s="94"/>
    </row>
    <row r="957" ht="40.5" customHeight="1">
      <c r="A957" s="27"/>
      <c r="B957" s="29"/>
      <c r="C957" s="166"/>
      <c r="D957" s="93"/>
      <c r="E957" s="166"/>
      <c r="F957" s="167"/>
      <c r="G957" s="168"/>
      <c r="H957" s="167"/>
      <c r="I957" s="41"/>
      <c r="J957" s="169"/>
      <c r="K957" s="48"/>
      <c r="L957" s="93"/>
      <c r="M957" s="94"/>
    </row>
    <row r="958" ht="40.5" customHeight="1">
      <c r="A958" s="27"/>
      <c r="B958" s="29"/>
      <c r="C958" s="166"/>
      <c r="D958" s="93"/>
      <c r="E958" s="166"/>
      <c r="F958" s="167"/>
      <c r="G958" s="168"/>
      <c r="H958" s="167"/>
      <c r="I958" s="41"/>
      <c r="J958" s="169"/>
      <c r="K958" s="48"/>
      <c r="L958" s="93"/>
      <c r="M958" s="94"/>
    </row>
    <row r="959" ht="40.5" customHeight="1">
      <c r="A959" s="27"/>
      <c r="B959" s="29"/>
      <c r="C959" s="166"/>
      <c r="D959" s="93"/>
      <c r="E959" s="166"/>
      <c r="F959" s="167"/>
      <c r="G959" s="168"/>
      <c r="H959" s="167"/>
      <c r="I959" s="41"/>
      <c r="J959" s="169"/>
      <c r="K959" s="48"/>
      <c r="L959" s="93"/>
      <c r="M959" s="94"/>
    </row>
    <row r="960" ht="40.5" customHeight="1">
      <c r="A960" s="27"/>
      <c r="B960" s="29"/>
      <c r="C960" s="166"/>
      <c r="D960" s="93"/>
      <c r="E960" s="166"/>
      <c r="F960" s="167"/>
      <c r="G960" s="168"/>
      <c r="H960" s="167"/>
      <c r="I960" s="41"/>
      <c r="J960" s="169"/>
      <c r="K960" s="48"/>
      <c r="L960" s="93"/>
      <c r="M960" s="94"/>
    </row>
    <row r="961" ht="40.5" customHeight="1">
      <c r="A961" s="27"/>
      <c r="B961" s="29"/>
      <c r="C961" s="166"/>
      <c r="D961" s="93"/>
      <c r="E961" s="166"/>
      <c r="F961" s="167"/>
      <c r="G961" s="168"/>
      <c r="H961" s="167"/>
      <c r="I961" s="41"/>
      <c r="J961" s="169"/>
      <c r="K961" s="48"/>
      <c r="L961" s="93"/>
      <c r="M961" s="94"/>
    </row>
    <row r="962" ht="40.5" customHeight="1">
      <c r="A962" s="27"/>
      <c r="B962" s="29"/>
      <c r="C962" s="166"/>
      <c r="D962" s="93"/>
      <c r="E962" s="166"/>
      <c r="F962" s="167"/>
      <c r="G962" s="168"/>
      <c r="H962" s="167"/>
      <c r="I962" s="41"/>
      <c r="J962" s="169"/>
      <c r="K962" s="48"/>
      <c r="L962" s="93"/>
      <c r="M962" s="94"/>
    </row>
    <row r="963" ht="40.5" customHeight="1">
      <c r="A963" s="27"/>
      <c r="B963" s="29"/>
      <c r="C963" s="166"/>
      <c r="D963" s="93"/>
      <c r="E963" s="166"/>
      <c r="F963" s="167"/>
      <c r="G963" s="168"/>
      <c r="H963" s="167"/>
      <c r="I963" s="41"/>
      <c r="J963" s="169"/>
      <c r="K963" s="48"/>
      <c r="L963" s="93"/>
      <c r="M963" s="94"/>
    </row>
    <row r="964" ht="40.5" customHeight="1">
      <c r="A964" s="27"/>
      <c r="B964" s="29"/>
      <c r="C964" s="166"/>
      <c r="D964" s="93"/>
      <c r="E964" s="166"/>
      <c r="F964" s="167"/>
      <c r="G964" s="168"/>
      <c r="H964" s="167"/>
      <c r="I964" s="41"/>
      <c r="J964" s="169"/>
      <c r="K964" s="48"/>
      <c r="L964" s="93"/>
      <c r="M964" s="94"/>
    </row>
    <row r="965" ht="40.5" customHeight="1">
      <c r="A965" s="27"/>
      <c r="B965" s="29"/>
      <c r="C965" s="166"/>
      <c r="D965" s="93"/>
      <c r="E965" s="166"/>
      <c r="F965" s="167"/>
      <c r="G965" s="168"/>
      <c r="H965" s="167"/>
      <c r="I965" s="41"/>
      <c r="J965" s="169"/>
      <c r="K965" s="48"/>
      <c r="L965" s="93"/>
      <c r="M965" s="94"/>
    </row>
    <row r="966" ht="40.5" customHeight="1">
      <c r="A966" s="27"/>
      <c r="B966" s="29"/>
      <c r="C966" s="166"/>
      <c r="D966" s="93"/>
      <c r="E966" s="166"/>
      <c r="F966" s="167"/>
      <c r="G966" s="168"/>
      <c r="H966" s="167"/>
      <c r="I966" s="41"/>
      <c r="J966" s="169"/>
      <c r="K966" s="48"/>
      <c r="L966" s="93"/>
      <c r="M966" s="94"/>
    </row>
    <row r="967" ht="40.5" customHeight="1">
      <c r="A967" s="27"/>
      <c r="B967" s="29"/>
      <c r="C967" s="166"/>
      <c r="D967" s="93"/>
      <c r="E967" s="166"/>
      <c r="F967" s="167"/>
      <c r="G967" s="168"/>
      <c r="H967" s="167"/>
      <c r="I967" s="41"/>
      <c r="J967" s="169"/>
      <c r="K967" s="48"/>
      <c r="L967" s="93"/>
      <c r="M967" s="94"/>
    </row>
    <row r="968" ht="40.5" customHeight="1">
      <c r="A968" s="27"/>
      <c r="B968" s="29"/>
      <c r="C968" s="166"/>
      <c r="D968" s="93"/>
      <c r="E968" s="166"/>
      <c r="F968" s="167"/>
      <c r="G968" s="168"/>
      <c r="H968" s="167"/>
      <c r="I968" s="41"/>
      <c r="J968" s="169"/>
      <c r="K968" s="48"/>
      <c r="L968" s="93"/>
      <c r="M968" s="94"/>
    </row>
    <row r="969" ht="40.5" customHeight="1">
      <c r="A969" s="27"/>
      <c r="B969" s="29"/>
      <c r="C969" s="166"/>
      <c r="D969" s="93"/>
      <c r="E969" s="166"/>
      <c r="F969" s="167"/>
      <c r="G969" s="168"/>
      <c r="H969" s="167"/>
      <c r="I969" s="41"/>
      <c r="J969" s="169"/>
      <c r="K969" s="48"/>
      <c r="L969" s="93"/>
      <c r="M969" s="94"/>
    </row>
    <row r="970" ht="40.5" customHeight="1">
      <c r="A970" s="27"/>
      <c r="B970" s="29"/>
      <c r="C970" s="166"/>
      <c r="D970" s="93"/>
      <c r="E970" s="166"/>
      <c r="F970" s="167"/>
      <c r="G970" s="168"/>
      <c r="H970" s="167"/>
      <c r="I970" s="41"/>
      <c r="J970" s="169"/>
      <c r="K970" s="48"/>
      <c r="L970" s="93"/>
      <c r="M970" s="94"/>
    </row>
    <row r="971" ht="40.5" customHeight="1">
      <c r="A971" s="27"/>
      <c r="B971" s="29"/>
      <c r="C971" s="166"/>
      <c r="D971" s="93"/>
      <c r="E971" s="166"/>
      <c r="F971" s="167"/>
      <c r="G971" s="168"/>
      <c r="H971" s="167"/>
      <c r="I971" s="41"/>
      <c r="J971" s="169"/>
      <c r="K971" s="48"/>
      <c r="L971" s="93"/>
      <c r="M971" s="94"/>
    </row>
    <row r="972" ht="40.5" customHeight="1">
      <c r="A972" s="27"/>
      <c r="B972" s="29"/>
      <c r="C972" s="166"/>
      <c r="D972" s="93"/>
      <c r="E972" s="166"/>
      <c r="F972" s="167"/>
      <c r="G972" s="168"/>
      <c r="H972" s="167"/>
      <c r="I972" s="41"/>
      <c r="J972" s="169"/>
      <c r="K972" s="48"/>
      <c r="L972" s="93"/>
      <c r="M972" s="94"/>
    </row>
    <row r="973" ht="40.5" customHeight="1">
      <c r="A973" s="27"/>
      <c r="B973" s="29"/>
      <c r="C973" s="166"/>
      <c r="D973" s="93"/>
      <c r="E973" s="166"/>
      <c r="F973" s="167"/>
      <c r="G973" s="168"/>
      <c r="H973" s="167"/>
      <c r="I973" s="41"/>
      <c r="J973" s="169"/>
      <c r="K973" s="48"/>
      <c r="L973" s="93"/>
      <c r="M973" s="94"/>
    </row>
    <row r="974" ht="40.5" customHeight="1">
      <c r="A974" s="27"/>
      <c r="B974" s="29"/>
      <c r="C974" s="166"/>
      <c r="D974" s="93"/>
      <c r="E974" s="166"/>
      <c r="F974" s="167"/>
      <c r="G974" s="168"/>
      <c r="H974" s="167"/>
      <c r="I974" s="41"/>
      <c r="J974" s="169"/>
      <c r="K974" s="48"/>
      <c r="L974" s="93"/>
      <c r="M974" s="94"/>
    </row>
    <row r="975" ht="40.5" customHeight="1">
      <c r="A975" s="27"/>
      <c r="B975" s="29"/>
      <c r="C975" s="166"/>
      <c r="D975" s="93"/>
      <c r="E975" s="166"/>
      <c r="F975" s="167"/>
      <c r="G975" s="168"/>
      <c r="H975" s="167"/>
      <c r="I975" s="41"/>
      <c r="J975" s="169"/>
      <c r="K975" s="48"/>
      <c r="L975" s="93"/>
      <c r="M975" s="94"/>
    </row>
    <row r="976" ht="40.5" customHeight="1">
      <c r="A976" s="27"/>
      <c r="B976" s="29"/>
      <c r="C976" s="166"/>
      <c r="D976" s="93"/>
      <c r="E976" s="166"/>
      <c r="F976" s="167"/>
      <c r="G976" s="168"/>
      <c r="H976" s="167"/>
      <c r="I976" s="41"/>
      <c r="J976" s="169"/>
      <c r="K976" s="48"/>
      <c r="L976" s="93"/>
      <c r="M976" s="94"/>
    </row>
    <row r="977" ht="40.5" customHeight="1">
      <c r="A977" s="27"/>
      <c r="B977" s="29"/>
      <c r="C977" s="166"/>
      <c r="D977" s="93"/>
      <c r="E977" s="166"/>
      <c r="F977" s="167"/>
      <c r="G977" s="168"/>
      <c r="H977" s="167"/>
      <c r="I977" s="41"/>
      <c r="J977" s="169"/>
      <c r="K977" s="48"/>
      <c r="L977" s="93"/>
      <c r="M977" s="94"/>
    </row>
    <row r="978" ht="40.5" customHeight="1">
      <c r="A978" s="27"/>
      <c r="B978" s="29"/>
      <c r="C978" s="166"/>
      <c r="D978" s="93"/>
      <c r="E978" s="166"/>
      <c r="F978" s="167"/>
      <c r="G978" s="168"/>
      <c r="H978" s="167"/>
      <c r="I978" s="41"/>
      <c r="J978" s="169"/>
      <c r="K978" s="48"/>
      <c r="L978" s="93"/>
      <c r="M978" s="94"/>
    </row>
    <row r="979" ht="40.5" customHeight="1">
      <c r="A979" s="27"/>
      <c r="B979" s="29"/>
      <c r="C979" s="166"/>
      <c r="D979" s="93"/>
      <c r="E979" s="166"/>
      <c r="F979" s="167"/>
      <c r="G979" s="168"/>
      <c r="H979" s="167"/>
      <c r="I979" s="41"/>
      <c r="J979" s="169"/>
      <c r="K979" s="48"/>
      <c r="L979" s="93"/>
      <c r="M979" s="94"/>
    </row>
    <row r="980" ht="40.5" customHeight="1">
      <c r="A980" s="27"/>
      <c r="B980" s="29"/>
      <c r="C980" s="166"/>
      <c r="D980" s="93"/>
      <c r="E980" s="166"/>
      <c r="F980" s="167"/>
      <c r="G980" s="168"/>
      <c r="H980" s="167"/>
      <c r="I980" s="41"/>
      <c r="J980" s="169"/>
      <c r="K980" s="48"/>
      <c r="L980" s="93"/>
      <c r="M980" s="94"/>
    </row>
    <row r="981" ht="40.5" customHeight="1">
      <c r="A981" s="27"/>
      <c r="B981" s="29"/>
      <c r="C981" s="166"/>
      <c r="D981" s="93"/>
      <c r="E981" s="166"/>
      <c r="F981" s="167"/>
      <c r="G981" s="168"/>
      <c r="H981" s="167"/>
      <c r="I981" s="41"/>
      <c r="J981" s="169"/>
      <c r="K981" s="48"/>
      <c r="L981" s="93"/>
      <c r="M981" s="94"/>
    </row>
    <row r="982" ht="40.5" customHeight="1">
      <c r="A982" s="27"/>
      <c r="B982" s="29"/>
      <c r="C982" s="166"/>
      <c r="D982" s="93"/>
      <c r="E982" s="166"/>
      <c r="F982" s="167"/>
      <c r="G982" s="168"/>
      <c r="H982" s="167"/>
      <c r="I982" s="41"/>
      <c r="J982" s="169"/>
      <c r="K982" s="48"/>
      <c r="L982" s="93"/>
      <c r="M982" s="94"/>
    </row>
    <row r="983" ht="40.5" customHeight="1">
      <c r="A983" s="27"/>
      <c r="B983" s="29"/>
      <c r="C983" s="166"/>
      <c r="D983" s="93"/>
      <c r="E983" s="166"/>
      <c r="F983" s="167"/>
      <c r="G983" s="168"/>
      <c r="H983" s="167"/>
      <c r="I983" s="41"/>
      <c r="J983" s="169"/>
      <c r="K983" s="48"/>
      <c r="L983" s="93"/>
      <c r="M983" s="94"/>
    </row>
    <row r="984" ht="40.5" customHeight="1">
      <c r="A984" s="27"/>
      <c r="B984" s="29"/>
      <c r="C984" s="166"/>
      <c r="D984" s="93"/>
      <c r="E984" s="166"/>
      <c r="F984" s="167"/>
      <c r="G984" s="168"/>
      <c r="H984" s="167"/>
      <c r="I984" s="41"/>
      <c r="J984" s="169"/>
      <c r="K984" s="48"/>
      <c r="L984" s="93"/>
      <c r="M984" s="94"/>
    </row>
    <row r="985" ht="40.5" customHeight="1">
      <c r="A985" s="27"/>
      <c r="B985" s="29"/>
      <c r="C985" s="166"/>
      <c r="D985" s="93"/>
      <c r="E985" s="166"/>
      <c r="F985" s="167"/>
      <c r="G985" s="168"/>
      <c r="H985" s="167"/>
      <c r="I985" s="41"/>
      <c r="J985" s="169"/>
      <c r="K985" s="48"/>
      <c r="L985" s="93"/>
      <c r="M985" s="94"/>
    </row>
    <row r="986" ht="40.5" customHeight="1">
      <c r="A986" s="27"/>
      <c r="B986" s="29"/>
      <c r="C986" s="166"/>
      <c r="D986" s="93"/>
      <c r="E986" s="166"/>
      <c r="F986" s="167"/>
      <c r="G986" s="168"/>
      <c r="H986" s="167"/>
      <c r="I986" s="41"/>
      <c r="J986" s="169"/>
      <c r="K986" s="48"/>
      <c r="L986" s="93"/>
      <c r="M986" s="94"/>
    </row>
    <row r="987" ht="40.5" customHeight="1">
      <c r="A987" s="27"/>
      <c r="B987" s="29"/>
      <c r="C987" s="166"/>
      <c r="D987" s="93"/>
      <c r="E987" s="166"/>
      <c r="F987" s="167"/>
      <c r="G987" s="168"/>
      <c r="H987" s="167"/>
      <c r="I987" s="41"/>
      <c r="J987" s="169"/>
      <c r="K987" s="48"/>
      <c r="L987" s="93"/>
      <c r="M987" s="94"/>
    </row>
    <row r="988" ht="40.5" customHeight="1">
      <c r="A988" s="27"/>
      <c r="B988" s="29"/>
      <c r="C988" s="166"/>
      <c r="D988" s="93"/>
      <c r="E988" s="166"/>
      <c r="F988" s="167"/>
      <c r="G988" s="168"/>
      <c r="H988" s="167"/>
      <c r="I988" s="41"/>
      <c r="J988" s="169"/>
      <c r="K988" s="48"/>
      <c r="L988" s="93"/>
      <c r="M988" s="94"/>
    </row>
    <row r="989" ht="40.5" customHeight="1">
      <c r="A989" s="27"/>
      <c r="B989" s="29"/>
      <c r="C989" s="166"/>
      <c r="D989" s="93"/>
      <c r="E989" s="166"/>
      <c r="F989" s="167"/>
      <c r="G989" s="168"/>
      <c r="H989" s="167"/>
      <c r="I989" s="41"/>
      <c r="J989" s="169"/>
      <c r="K989" s="48"/>
      <c r="L989" s="93"/>
      <c r="M989" s="94"/>
    </row>
    <row r="990" ht="40.5" customHeight="1">
      <c r="A990" s="27"/>
      <c r="B990" s="29"/>
      <c r="C990" s="166"/>
      <c r="D990" s="93"/>
      <c r="E990" s="166"/>
      <c r="F990" s="167"/>
      <c r="G990" s="168"/>
      <c r="H990" s="167"/>
      <c r="I990" s="41"/>
      <c r="J990" s="169"/>
      <c r="K990" s="48"/>
      <c r="L990" s="93"/>
      <c r="M990" s="94"/>
    </row>
    <row r="991" ht="40.5" customHeight="1">
      <c r="A991" s="27"/>
      <c r="B991" s="29"/>
      <c r="C991" s="166"/>
      <c r="D991" s="93"/>
      <c r="E991" s="166"/>
      <c r="F991" s="167"/>
      <c r="G991" s="168"/>
      <c r="H991" s="167"/>
      <c r="I991" s="41"/>
      <c r="J991" s="169"/>
      <c r="K991" s="48"/>
      <c r="L991" s="93"/>
      <c r="M991" s="94"/>
    </row>
    <row r="992" ht="40.5" customHeight="1">
      <c r="A992" s="27"/>
      <c r="B992" s="29"/>
      <c r="C992" s="166"/>
      <c r="D992" s="93"/>
      <c r="E992" s="166"/>
      <c r="F992" s="167"/>
      <c r="G992" s="168"/>
      <c r="H992" s="167"/>
      <c r="I992" s="41"/>
      <c r="J992" s="169"/>
      <c r="K992" s="48"/>
      <c r="L992" s="93"/>
      <c r="M992" s="94"/>
    </row>
    <row r="993" ht="40.5" customHeight="1">
      <c r="A993" s="27"/>
      <c r="B993" s="29"/>
      <c r="C993" s="166"/>
      <c r="D993" s="93"/>
      <c r="E993" s="166"/>
      <c r="F993" s="167"/>
      <c r="G993" s="168"/>
      <c r="H993" s="167"/>
      <c r="I993" s="41"/>
      <c r="J993" s="169"/>
      <c r="K993" s="48"/>
      <c r="L993" s="93"/>
      <c r="M993" s="94"/>
    </row>
    <row r="994" ht="40.5" customHeight="1">
      <c r="A994" s="27"/>
      <c r="B994" s="29"/>
      <c r="C994" s="166"/>
      <c r="D994" s="93"/>
      <c r="E994" s="166"/>
      <c r="F994" s="167"/>
      <c r="G994" s="168"/>
      <c r="H994" s="167"/>
      <c r="I994" s="41"/>
      <c r="J994" s="169"/>
      <c r="K994" s="48"/>
      <c r="L994" s="93"/>
      <c r="M994" s="94"/>
    </row>
    <row r="995" ht="40.5" customHeight="1">
      <c r="A995" s="27"/>
      <c r="B995" s="29"/>
      <c r="C995" s="166"/>
      <c r="D995" s="93"/>
      <c r="E995" s="166"/>
      <c r="F995" s="167"/>
      <c r="G995" s="168"/>
      <c r="H995" s="167"/>
      <c r="I995" s="41"/>
      <c r="J995" s="169"/>
      <c r="K995" s="48"/>
      <c r="L995" s="93"/>
      <c r="M995" s="94"/>
    </row>
    <row r="996" ht="40.5" customHeight="1">
      <c r="A996" s="27"/>
      <c r="B996" s="29"/>
      <c r="C996" s="166"/>
      <c r="D996" s="93"/>
      <c r="E996" s="166"/>
      <c r="F996" s="167"/>
      <c r="G996" s="168"/>
      <c r="H996" s="167"/>
      <c r="I996" s="41"/>
      <c r="J996" s="169"/>
      <c r="K996" s="48"/>
      <c r="L996" s="93"/>
      <c r="M996" s="94"/>
    </row>
    <row r="997" ht="40.5" customHeight="1">
      <c r="A997" s="27"/>
      <c r="B997" s="29"/>
      <c r="C997" s="166"/>
      <c r="D997" s="93"/>
      <c r="E997" s="166"/>
      <c r="F997" s="167"/>
      <c r="G997" s="168"/>
      <c r="H997" s="167"/>
      <c r="I997" s="41"/>
      <c r="J997" s="169"/>
      <c r="K997" s="48"/>
      <c r="L997" s="93"/>
      <c r="M997" s="94"/>
    </row>
    <row r="998" ht="40.5" customHeight="1">
      <c r="A998" s="27"/>
      <c r="B998" s="29"/>
      <c r="C998" s="166"/>
      <c r="D998" s="93"/>
      <c r="E998" s="166"/>
      <c r="F998" s="167"/>
      <c r="G998" s="168"/>
      <c r="H998" s="167"/>
      <c r="I998" s="41"/>
      <c r="J998" s="169"/>
      <c r="K998" s="48"/>
      <c r="L998" s="93"/>
      <c r="M998" s="94"/>
    </row>
    <row r="999" ht="40.5" customHeight="1">
      <c r="A999" s="27"/>
      <c r="B999" s="29"/>
      <c r="C999" s="166"/>
      <c r="D999" s="93"/>
      <c r="E999" s="166"/>
      <c r="F999" s="167"/>
      <c r="G999" s="168"/>
      <c r="H999" s="167"/>
      <c r="I999" s="41"/>
      <c r="J999" s="169"/>
      <c r="K999" s="48"/>
      <c r="L999" s="93"/>
      <c r="M999" s="94"/>
    </row>
    <row r="1000" ht="40.5" customHeight="1">
      <c r="A1000" s="27"/>
      <c r="B1000" s="29"/>
      <c r="C1000" s="166"/>
      <c r="D1000" s="93"/>
      <c r="E1000" s="166"/>
      <c r="F1000" s="167"/>
      <c r="G1000" s="168"/>
      <c r="H1000" s="167"/>
      <c r="I1000" s="41"/>
      <c r="J1000" s="169"/>
      <c r="K1000" s="48"/>
      <c r="L1000" s="93"/>
      <c r="M1000" s="94"/>
    </row>
    <row r="1001" ht="40.5" customHeight="1">
      <c r="A1001" s="27"/>
      <c r="B1001" s="29"/>
      <c r="C1001" s="166"/>
      <c r="D1001" s="93"/>
      <c r="E1001" s="166"/>
      <c r="F1001" s="167"/>
      <c r="G1001" s="168"/>
      <c r="H1001" s="167"/>
      <c r="I1001" s="41"/>
      <c r="J1001" s="169"/>
      <c r="K1001" s="48"/>
      <c r="L1001" s="93"/>
      <c r="M1001" s="94"/>
    </row>
    <row r="1002" ht="40.5" customHeight="1">
      <c r="A1002" s="27"/>
      <c r="B1002" s="29"/>
      <c r="C1002" s="166"/>
      <c r="D1002" s="93"/>
      <c r="E1002" s="166"/>
      <c r="F1002" s="167"/>
      <c r="G1002" s="168"/>
      <c r="H1002" s="167"/>
      <c r="I1002" s="41"/>
      <c r="J1002" s="169"/>
      <c r="K1002" s="48"/>
      <c r="L1002" s="93"/>
      <c r="M1002" s="94"/>
    </row>
    <row r="1003" ht="40.5" customHeight="1">
      <c r="A1003" s="27"/>
      <c r="B1003" s="29"/>
      <c r="C1003" s="166"/>
      <c r="D1003" s="93"/>
      <c r="E1003" s="166"/>
      <c r="F1003" s="167"/>
      <c r="G1003" s="168"/>
      <c r="H1003" s="167"/>
      <c r="I1003" s="41"/>
      <c r="J1003" s="169"/>
      <c r="K1003" s="48"/>
      <c r="L1003" s="93"/>
      <c r="M1003" s="94"/>
    </row>
    <row r="1004" ht="40.5" customHeight="1">
      <c r="A1004" s="27"/>
      <c r="B1004" s="29"/>
      <c r="C1004" s="166"/>
      <c r="D1004" s="93"/>
      <c r="E1004" s="166"/>
      <c r="F1004" s="167"/>
      <c r="G1004" s="168"/>
      <c r="H1004" s="167"/>
      <c r="I1004" s="41"/>
      <c r="J1004" s="169"/>
      <c r="K1004" s="48"/>
      <c r="L1004" s="93"/>
      <c r="M1004" s="94"/>
    </row>
    <row r="1005" ht="40.5" customHeight="1">
      <c r="A1005" s="27"/>
      <c r="B1005" s="29"/>
      <c r="C1005" s="166"/>
      <c r="D1005" s="93"/>
      <c r="E1005" s="166"/>
      <c r="F1005" s="167"/>
      <c r="G1005" s="168"/>
      <c r="H1005" s="167"/>
      <c r="I1005" s="41"/>
      <c r="J1005" s="169"/>
      <c r="K1005" s="48"/>
      <c r="L1005" s="93"/>
      <c r="M1005" s="94"/>
    </row>
    <row r="1006" ht="40.5" customHeight="1">
      <c r="A1006" s="27"/>
      <c r="B1006" s="29"/>
      <c r="C1006" s="166"/>
      <c r="D1006" s="93"/>
      <c r="E1006" s="166"/>
      <c r="F1006" s="167"/>
      <c r="G1006" s="168"/>
      <c r="H1006" s="167"/>
      <c r="I1006" s="41"/>
      <c r="J1006" s="169"/>
      <c r="K1006" s="48"/>
      <c r="L1006" s="93"/>
      <c r="M1006" s="94"/>
    </row>
    <row r="1007" ht="40.5" customHeight="1">
      <c r="A1007" s="27"/>
      <c r="B1007" s="29"/>
      <c r="C1007" s="166"/>
      <c r="D1007" s="93"/>
      <c r="E1007" s="166"/>
      <c r="F1007" s="167"/>
      <c r="G1007" s="168"/>
      <c r="H1007" s="167"/>
      <c r="I1007" s="41"/>
      <c r="J1007" s="169"/>
      <c r="K1007" s="48"/>
      <c r="L1007" s="93"/>
      <c r="M1007" s="94"/>
    </row>
    <row r="1008" ht="40.5" customHeight="1">
      <c r="A1008" s="27"/>
      <c r="B1008" s="29"/>
      <c r="C1008" s="166"/>
      <c r="D1008" s="93"/>
      <c r="E1008" s="166"/>
      <c r="F1008" s="167"/>
      <c r="G1008" s="168"/>
      <c r="H1008" s="167"/>
      <c r="I1008" s="41"/>
      <c r="J1008" s="169"/>
      <c r="K1008" s="48"/>
      <c r="L1008" s="93"/>
      <c r="M1008" s="94"/>
    </row>
    <row r="1009" ht="40.5" customHeight="1">
      <c r="A1009" s="27"/>
      <c r="B1009" s="29"/>
      <c r="C1009" s="166"/>
      <c r="D1009" s="93"/>
      <c r="E1009" s="166"/>
      <c r="F1009" s="167"/>
      <c r="G1009" s="168"/>
      <c r="H1009" s="167"/>
      <c r="I1009" s="41"/>
      <c r="J1009" s="169"/>
      <c r="K1009" s="48"/>
      <c r="L1009" s="93"/>
      <c r="M1009" s="94"/>
    </row>
    <row r="1010" ht="40.5" customHeight="1">
      <c r="A1010" s="27"/>
      <c r="B1010" s="29"/>
      <c r="C1010" s="166"/>
      <c r="D1010" s="93"/>
      <c r="E1010" s="166"/>
      <c r="F1010" s="167"/>
      <c r="G1010" s="168"/>
      <c r="H1010" s="167"/>
      <c r="I1010" s="41"/>
      <c r="J1010" s="169"/>
      <c r="K1010" s="48"/>
      <c r="L1010" s="93"/>
      <c r="M1010" s="94"/>
    </row>
    <row r="1011" ht="40.5" customHeight="1">
      <c r="A1011" s="27"/>
      <c r="B1011" s="29"/>
      <c r="C1011" s="166"/>
      <c r="D1011" s="93"/>
      <c r="E1011" s="166"/>
      <c r="F1011" s="167"/>
      <c r="G1011" s="168"/>
      <c r="H1011" s="167"/>
      <c r="I1011" s="41"/>
      <c r="J1011" s="169"/>
      <c r="K1011" s="48"/>
      <c r="L1011" s="93"/>
      <c r="M1011" s="94"/>
    </row>
    <row r="1012" ht="40.5" customHeight="1">
      <c r="A1012" s="27"/>
      <c r="B1012" s="29"/>
      <c r="C1012" s="166"/>
      <c r="D1012" s="93"/>
      <c r="E1012" s="166"/>
      <c r="F1012" s="167"/>
      <c r="G1012" s="168"/>
      <c r="H1012" s="167"/>
      <c r="I1012" s="41"/>
      <c r="J1012" s="169"/>
      <c r="K1012" s="48"/>
      <c r="L1012" s="93"/>
      <c r="M1012" s="94"/>
    </row>
    <row r="1013" ht="40.5" customHeight="1">
      <c r="A1013" s="27"/>
      <c r="B1013" s="29"/>
      <c r="C1013" s="166"/>
      <c r="D1013" s="93"/>
      <c r="E1013" s="166"/>
      <c r="F1013" s="167"/>
      <c r="G1013" s="168"/>
      <c r="H1013" s="167"/>
      <c r="I1013" s="41"/>
      <c r="J1013" s="169"/>
      <c r="K1013" s="48"/>
      <c r="L1013" s="93"/>
      <c r="M1013" s="94"/>
    </row>
    <row r="1014" ht="40.5" customHeight="1">
      <c r="A1014" s="27"/>
      <c r="B1014" s="29"/>
      <c r="C1014" s="166"/>
      <c r="D1014" s="93"/>
      <c r="E1014" s="166"/>
      <c r="F1014" s="167"/>
      <c r="G1014" s="168"/>
      <c r="H1014" s="167"/>
      <c r="I1014" s="41"/>
      <c r="J1014" s="169"/>
      <c r="K1014" s="48"/>
      <c r="L1014" s="93"/>
      <c r="M1014" s="94"/>
    </row>
    <row r="1015" ht="40.5" customHeight="1">
      <c r="A1015" s="27"/>
      <c r="B1015" s="29"/>
      <c r="C1015" s="166"/>
      <c r="D1015" s="93"/>
      <c r="E1015" s="166"/>
      <c r="F1015" s="167"/>
      <c r="G1015" s="168"/>
      <c r="H1015" s="167"/>
      <c r="I1015" s="41"/>
      <c r="J1015" s="169"/>
      <c r="K1015" s="48"/>
      <c r="L1015" s="93"/>
      <c r="M1015" s="94"/>
    </row>
    <row r="1016" ht="40.5" customHeight="1">
      <c r="A1016" s="27"/>
      <c r="B1016" s="29"/>
      <c r="C1016" s="166"/>
      <c r="D1016" s="93"/>
      <c r="E1016" s="166"/>
      <c r="F1016" s="167"/>
      <c r="G1016" s="168"/>
      <c r="H1016" s="167"/>
      <c r="I1016" s="41"/>
      <c r="J1016" s="169"/>
      <c r="K1016" s="48"/>
      <c r="L1016" s="93"/>
      <c r="M1016" s="94"/>
    </row>
    <row r="1017" ht="40.5" customHeight="1">
      <c r="A1017" s="27"/>
      <c r="B1017" s="29"/>
      <c r="C1017" s="166"/>
      <c r="D1017" s="93"/>
      <c r="E1017" s="166"/>
      <c r="F1017" s="167"/>
      <c r="G1017" s="168"/>
      <c r="H1017" s="167"/>
      <c r="I1017" s="41"/>
      <c r="J1017" s="169"/>
      <c r="K1017" s="48"/>
      <c r="L1017" s="93"/>
      <c r="M1017" s="94"/>
    </row>
    <row r="1018" ht="40.5" customHeight="1">
      <c r="A1018" s="27"/>
      <c r="B1018" s="29"/>
      <c r="C1018" s="166"/>
      <c r="D1018" s="93"/>
      <c r="E1018" s="166"/>
      <c r="F1018" s="167"/>
      <c r="G1018" s="168"/>
      <c r="H1018" s="167"/>
      <c r="I1018" s="41"/>
      <c r="J1018" s="169"/>
      <c r="K1018" s="48"/>
      <c r="L1018" s="93"/>
      <c r="M1018" s="94"/>
    </row>
    <row r="1019" ht="40.5" customHeight="1">
      <c r="A1019" s="27"/>
      <c r="B1019" s="29"/>
      <c r="C1019" s="166"/>
      <c r="D1019" s="93"/>
      <c r="E1019" s="166"/>
      <c r="F1019" s="167"/>
      <c r="G1019" s="168"/>
      <c r="H1019" s="167"/>
      <c r="I1019" s="41"/>
      <c r="J1019" s="169"/>
      <c r="K1019" s="48"/>
      <c r="L1019" s="93"/>
      <c r="M1019" s="94"/>
    </row>
    <row r="1020" ht="40.5" customHeight="1">
      <c r="A1020" s="27"/>
      <c r="B1020" s="29"/>
      <c r="C1020" s="166"/>
      <c r="D1020" s="93"/>
      <c r="E1020" s="166"/>
      <c r="F1020" s="167"/>
      <c r="G1020" s="168"/>
      <c r="H1020" s="167"/>
      <c r="I1020" s="41"/>
      <c r="J1020" s="169"/>
      <c r="K1020" s="48"/>
      <c r="L1020" s="93"/>
      <c r="M1020" s="94"/>
    </row>
    <row r="1021" ht="40.5" customHeight="1">
      <c r="A1021" s="27"/>
      <c r="B1021" s="29"/>
      <c r="C1021" s="166"/>
      <c r="D1021" s="93"/>
      <c r="E1021" s="166"/>
      <c r="F1021" s="167"/>
      <c r="G1021" s="168"/>
      <c r="H1021" s="167"/>
      <c r="I1021" s="41"/>
      <c r="J1021" s="169"/>
      <c r="K1021" s="48"/>
      <c r="L1021" s="93"/>
      <c r="M1021" s="94"/>
    </row>
    <row r="1022" ht="40.5" customHeight="1">
      <c r="A1022" s="27"/>
      <c r="B1022" s="29"/>
      <c r="C1022" s="166"/>
      <c r="D1022" s="93"/>
      <c r="E1022" s="166"/>
      <c r="F1022" s="167"/>
      <c r="G1022" s="168"/>
      <c r="H1022" s="167"/>
      <c r="I1022" s="41"/>
      <c r="J1022" s="169"/>
      <c r="K1022" s="48"/>
      <c r="L1022" s="93"/>
      <c r="M1022" s="94"/>
    </row>
    <row r="1023" ht="40.5" customHeight="1">
      <c r="A1023" s="27"/>
      <c r="B1023" s="29"/>
      <c r="C1023" s="166"/>
      <c r="D1023" s="93"/>
      <c r="E1023" s="166"/>
      <c r="F1023" s="167"/>
      <c r="G1023" s="168"/>
      <c r="H1023" s="167"/>
      <c r="I1023" s="41"/>
      <c r="J1023" s="169"/>
      <c r="K1023" s="48"/>
      <c r="L1023" s="93"/>
      <c r="M1023" s="94"/>
    </row>
    <row r="1024" ht="40.5" customHeight="1">
      <c r="A1024" s="27"/>
      <c r="B1024" s="29"/>
      <c r="C1024" s="166"/>
      <c r="D1024" s="93"/>
      <c r="E1024" s="166"/>
      <c r="F1024" s="167"/>
      <c r="G1024" s="168"/>
      <c r="H1024" s="167"/>
      <c r="I1024" s="41"/>
      <c r="J1024" s="169"/>
      <c r="K1024" s="48"/>
      <c r="L1024" s="93"/>
      <c r="M1024" s="94"/>
    </row>
    <row r="1025" ht="40.5" customHeight="1">
      <c r="A1025" s="27"/>
      <c r="B1025" s="29"/>
      <c r="C1025" s="166"/>
      <c r="D1025" s="93"/>
      <c r="E1025" s="166"/>
      <c r="F1025" s="167"/>
      <c r="G1025" s="168"/>
      <c r="H1025" s="167"/>
      <c r="I1025" s="41"/>
      <c r="J1025" s="169"/>
      <c r="K1025" s="48"/>
      <c r="L1025" s="93"/>
      <c r="M1025" s="94"/>
    </row>
    <row r="1026" ht="40.5" customHeight="1">
      <c r="A1026" s="27"/>
      <c r="B1026" s="29"/>
      <c r="C1026" s="166"/>
      <c r="D1026" s="93"/>
      <c r="E1026" s="166"/>
      <c r="F1026" s="167"/>
      <c r="G1026" s="168"/>
      <c r="H1026" s="167"/>
      <c r="I1026" s="41"/>
      <c r="J1026" s="169"/>
      <c r="K1026" s="48"/>
      <c r="L1026" s="93"/>
      <c r="M1026" s="94"/>
    </row>
    <row r="1027" ht="40.5" customHeight="1">
      <c r="A1027" s="27"/>
      <c r="B1027" s="29"/>
      <c r="C1027" s="166"/>
      <c r="D1027" s="93"/>
      <c r="E1027" s="166"/>
      <c r="F1027" s="167"/>
      <c r="G1027" s="168"/>
      <c r="H1027" s="167"/>
      <c r="I1027" s="41"/>
      <c r="J1027" s="169"/>
      <c r="K1027" s="48"/>
      <c r="L1027" s="93"/>
      <c r="M1027" s="94"/>
    </row>
    <row r="1028" ht="40.5" customHeight="1">
      <c r="A1028" s="27"/>
      <c r="B1028" s="29"/>
      <c r="C1028" s="166"/>
      <c r="D1028" s="93"/>
      <c r="E1028" s="166"/>
      <c r="F1028" s="167"/>
      <c r="G1028" s="168"/>
      <c r="H1028" s="167"/>
      <c r="I1028" s="41"/>
      <c r="J1028" s="169"/>
      <c r="K1028" s="48"/>
      <c r="L1028" s="93"/>
      <c r="M1028" s="94"/>
    </row>
    <row r="1029" ht="40.5" customHeight="1">
      <c r="A1029" s="27"/>
      <c r="B1029" s="29"/>
      <c r="C1029" s="166"/>
      <c r="D1029" s="93"/>
      <c r="E1029" s="166"/>
      <c r="F1029" s="167"/>
      <c r="G1029" s="168"/>
      <c r="H1029" s="167"/>
      <c r="I1029" s="41"/>
      <c r="J1029" s="169"/>
      <c r="K1029" s="48"/>
      <c r="L1029" s="93"/>
      <c r="M1029" s="94"/>
    </row>
    <row r="1030" ht="40.5" customHeight="1">
      <c r="A1030" s="27"/>
      <c r="B1030" s="29"/>
      <c r="C1030" s="166"/>
      <c r="D1030" s="93"/>
      <c r="E1030" s="166"/>
      <c r="F1030" s="167"/>
      <c r="G1030" s="168"/>
      <c r="H1030" s="167"/>
      <c r="I1030" s="41"/>
      <c r="J1030" s="169"/>
      <c r="K1030" s="48"/>
      <c r="L1030" s="93"/>
      <c r="M1030" s="94"/>
    </row>
    <row r="1031" ht="40.5" customHeight="1">
      <c r="A1031" s="27"/>
      <c r="B1031" s="29"/>
      <c r="C1031" s="166"/>
      <c r="D1031" s="93"/>
      <c r="E1031" s="166"/>
      <c r="F1031" s="167"/>
      <c r="G1031" s="168"/>
      <c r="H1031" s="167"/>
      <c r="I1031" s="41"/>
      <c r="J1031" s="169"/>
      <c r="K1031" s="48"/>
      <c r="L1031" s="93"/>
      <c r="M1031" s="94"/>
    </row>
    <row r="1032" ht="40.5" customHeight="1">
      <c r="A1032" s="27"/>
      <c r="B1032" s="29"/>
      <c r="C1032" s="166"/>
      <c r="D1032" s="93"/>
      <c r="E1032" s="166"/>
      <c r="F1032" s="167"/>
      <c r="G1032" s="168"/>
      <c r="H1032" s="167"/>
      <c r="I1032" s="41"/>
      <c r="J1032" s="169"/>
      <c r="K1032" s="48"/>
      <c r="L1032" s="93"/>
      <c r="M1032" s="94"/>
    </row>
    <row r="1033" ht="40.5" customHeight="1">
      <c r="A1033" s="27"/>
      <c r="B1033" s="29"/>
      <c r="C1033" s="166"/>
      <c r="D1033" s="93"/>
      <c r="E1033" s="166"/>
      <c r="F1033" s="167"/>
      <c r="G1033" s="168"/>
      <c r="H1033" s="167"/>
      <c r="I1033" s="41"/>
      <c r="J1033" s="169"/>
      <c r="K1033" s="48"/>
      <c r="L1033" s="93"/>
      <c r="M1033" s="94"/>
    </row>
    <row r="1034" ht="40.5" customHeight="1">
      <c r="A1034" s="27"/>
      <c r="B1034" s="29"/>
      <c r="C1034" s="166"/>
      <c r="D1034" s="93"/>
      <c r="E1034" s="166"/>
      <c r="F1034" s="167"/>
      <c r="G1034" s="168"/>
      <c r="H1034" s="167"/>
      <c r="I1034" s="41"/>
      <c r="J1034" s="169"/>
      <c r="K1034" s="48"/>
      <c r="L1034" s="93"/>
      <c r="M1034" s="94"/>
    </row>
    <row r="1035" ht="40.5" customHeight="1">
      <c r="A1035" s="27"/>
      <c r="B1035" s="29"/>
      <c r="C1035" s="166"/>
      <c r="D1035" s="93"/>
      <c r="E1035" s="166"/>
      <c r="F1035" s="167"/>
      <c r="G1035" s="168"/>
      <c r="H1035" s="167"/>
      <c r="I1035" s="41"/>
      <c r="J1035" s="169"/>
      <c r="K1035" s="48"/>
      <c r="L1035" s="93"/>
      <c r="M1035" s="94"/>
    </row>
    <row r="1036" ht="40.5" customHeight="1">
      <c r="A1036" s="27"/>
      <c r="B1036" s="29"/>
      <c r="C1036" s="166"/>
      <c r="D1036" s="93"/>
      <c r="E1036" s="166"/>
      <c r="F1036" s="167"/>
      <c r="G1036" s="168"/>
      <c r="H1036" s="167"/>
      <c r="I1036" s="41"/>
      <c r="J1036" s="169"/>
      <c r="K1036" s="48"/>
      <c r="L1036" s="93"/>
      <c r="M1036" s="94"/>
    </row>
    <row r="1037" ht="40.5" customHeight="1">
      <c r="A1037" s="27"/>
      <c r="B1037" s="29"/>
      <c r="C1037" s="166"/>
      <c r="D1037" s="93"/>
      <c r="E1037" s="166"/>
      <c r="F1037" s="167"/>
      <c r="G1037" s="168"/>
      <c r="H1037" s="167"/>
      <c r="I1037" s="41"/>
      <c r="J1037" s="169"/>
      <c r="K1037" s="48"/>
      <c r="L1037" s="93"/>
      <c r="M1037" s="94"/>
    </row>
  </sheetData>
  <conditionalFormatting sqref="C15">
    <cfRule type="expression" dxfId="19" priority="1">
      <formula>AND(LEFT(TRIM(TO_TEXT($B15)), 2)="2.", LEN(TRIM(TO_TEXT($B15))) - LEN(SUBSTITUTE(TRIM(TO_TEXT($B15)), ".", "")) = 1)</formula>
    </cfRule>
  </conditionalFormatting>
  <conditionalFormatting sqref="C15">
    <cfRule type="expression" dxfId="18" priority="2">
      <formula>AND(LEFT(TRIM(TO_TEXT($B15)), 2)="3.", LEN(TRIM(TO_TEXT($B15))) - LEN(SUBSTITUTE(TRIM(TO_TEXT($B15)), ".", "")) = 1)</formula>
    </cfRule>
  </conditionalFormatting>
  <conditionalFormatting sqref="C15">
    <cfRule type="expression" dxfId="9" priority="3">
      <formula>LEN(TO_TEXT($B15)) - LEN(SUBSTITUTE(TO_TEXT($B15), ".", "")) = 2</formula>
    </cfRule>
  </conditionalFormatting>
  <conditionalFormatting sqref="C15">
    <cfRule type="expression" dxfId="17" priority="4">
      <formula>AND(LEFT(TRIM(TO_TEXT($B15)), 2)="4.", LEN(TRIM(TO_TEXT($B15))) - LEN(SUBSTITUTE(TRIM(TO_TEXT($B15)), ".", "")) = 1)</formula>
    </cfRule>
  </conditionalFormatting>
  <conditionalFormatting sqref="C15">
    <cfRule type="expression" dxfId="16" priority="5">
      <formula>AND(LEFT(TRIM(TO_TEXT($B15)), 2)="5.", LEN(TRIM(TO_TEXT($B15))) - LEN(SUBSTITUTE(TRIM(TO_TEXT($B15)), ".", "")) = 1)</formula>
    </cfRule>
  </conditionalFormatting>
  <conditionalFormatting sqref="C15">
    <cfRule type="expression" dxfId="15" priority="6">
      <formula>AND(LEFT(TRIM(TO_TEXT($B15)), 2)="1.", LEN(TRIM(TO_TEXT($B15))) - LEN(SUBSTITUTE(TRIM(TO_TEXT($B15)), ".", "")) = 1)</formula>
    </cfRule>
  </conditionalFormatting>
  <conditionalFormatting sqref="C15">
    <cfRule type="expression" dxfId="14" priority="7">
      <formula>AND(LEN(TO_TEXT($B15)) - LEN(SUBSTITUTE(TO_TEXT($B15), ".", "")) = 0, OR($B15=1, $B15="1"))</formula>
    </cfRule>
  </conditionalFormatting>
  <conditionalFormatting sqref="C15">
    <cfRule type="expression" dxfId="13" priority="8">
      <formula>AND(LEN(TO_TEXT($B15)) - LEN(SUBSTITUTE(TO_TEXT($B15), ".", "")) = 0, OR($B15=4, $B15="4"))</formula>
    </cfRule>
  </conditionalFormatting>
  <conditionalFormatting sqref="C15">
    <cfRule type="expression" dxfId="12" priority="9">
      <formula>AND(LEN(TO_TEXT($B15)) - LEN(SUBSTITUTE(TO_TEXT($B15), ".", "")) = 0, OR($B15=5, $B15="5"))</formula>
    </cfRule>
  </conditionalFormatting>
  <conditionalFormatting sqref="C15">
    <cfRule type="expression" dxfId="11" priority="10">
      <formula>AND(LEN(TO_TEXT($B15)) - LEN(SUBSTITUTE(TO_TEXT($B15), ".", "")) = 0, OR($B15=2, $B15="2"))</formula>
    </cfRule>
  </conditionalFormatting>
  <conditionalFormatting sqref="C15">
    <cfRule type="expression" dxfId="10" priority="11">
      <formula>AND(LEN(TO_TEXT($B15)) - LEN(SUBSTITUTE(TO_TEXT($B15), ".", "")) = 0, OR($B15=3, $B15="3"))</formula>
    </cfRule>
  </conditionalFormatting>
  <conditionalFormatting sqref="D8:D12 B9:B10">
    <cfRule type="expression" dxfId="10" priority="12">
      <formula>AND(LEN(TO_TEXT($A8)) - LEN(SUBSTITUTE(TO_TEXT($A8), ".", "")) = 0, OR($A8=3, $A8="3"))</formula>
    </cfRule>
  </conditionalFormatting>
  <conditionalFormatting sqref="D8:D12 B9:B10">
    <cfRule type="expression" dxfId="11" priority="13">
      <formula>AND(LEN(TO_TEXT($A8)) - LEN(SUBSTITUTE(TO_TEXT($A8), ".", "")) = 0, OR($A8=2, $A8="2"))</formula>
    </cfRule>
  </conditionalFormatting>
  <conditionalFormatting sqref="D8:D12 B9:B10">
    <cfRule type="expression" dxfId="12" priority="14">
      <formula>AND(LEN(TO_TEXT($A8)) - LEN(SUBSTITUTE(TO_TEXT($A8), ".", "")) = 0, OR($A8=5, $A8="5"))</formula>
    </cfRule>
  </conditionalFormatting>
  <conditionalFormatting sqref="D8:D12 B9:B10">
    <cfRule type="expression" dxfId="13" priority="15">
      <formula>AND(LEN(TO_TEXT($A8)) - LEN(SUBSTITUTE(TO_TEXT($A8), ".", "")) = 0, OR($A8=4, $A8="4"))</formula>
    </cfRule>
  </conditionalFormatting>
  <conditionalFormatting sqref="D8:D12 B9:B10">
    <cfRule type="expression" dxfId="14" priority="16">
      <formula>AND(LEN(TO_TEXT($A8)) - LEN(SUBSTITUTE(TO_TEXT($A8), ".", "")) = 0, OR($A8=1, $A8="1"))</formula>
    </cfRule>
  </conditionalFormatting>
  <conditionalFormatting sqref="D8:D12 B9:B10">
    <cfRule type="expression" dxfId="15" priority="17">
      <formula>AND(LEFT(TRIM(TO_TEXT($A8)), 2)="1.", LEN(TRIM(TO_TEXT($A8))) - LEN(SUBSTITUTE(TRIM(TO_TEXT($A8)), ".", "")) = 1)</formula>
    </cfRule>
  </conditionalFormatting>
  <conditionalFormatting sqref="D8:D12 B9:B10">
    <cfRule type="expression" dxfId="16" priority="18">
      <formula>AND(LEFT(TRIM(TO_TEXT($A8)), 2)="5.", LEN(TRIM(TO_TEXT($A8))) - LEN(SUBSTITUTE(TRIM(TO_TEXT($A8)), ".", "")) = 1)</formula>
    </cfRule>
  </conditionalFormatting>
  <conditionalFormatting sqref="D8:D12 B9:B10">
    <cfRule type="expression" dxfId="17" priority="19">
      <formula>AND(LEFT(TRIM(TO_TEXT($A8)), 2)="4.", LEN(TRIM(TO_TEXT($A8))) - LEN(SUBSTITUTE(TRIM(TO_TEXT($A8)), ".", "")) = 1)</formula>
    </cfRule>
  </conditionalFormatting>
  <conditionalFormatting sqref="D8:D12 B9:B10">
    <cfRule type="expression" dxfId="9" priority="20">
      <formula>LEN(TO_TEXT($A8)) - LEN(SUBSTITUTE(TO_TEXT($A8), ".", "")) = 2</formula>
    </cfRule>
  </conditionalFormatting>
  <conditionalFormatting sqref="D8:D12 B9:B10">
    <cfRule type="expression" dxfId="18" priority="21">
      <formula>AND(LEFT(TRIM(TO_TEXT($A8)), 2)="3.", LEN(TRIM(TO_TEXT($A8))) - LEN(SUBSTITUTE(TRIM(TO_TEXT($A8)), ".", "")) = 1)</formula>
    </cfRule>
  </conditionalFormatting>
  <conditionalFormatting sqref="D8:D12 B9:B10">
    <cfRule type="expression" dxfId="19" priority="22">
      <formula>AND(LEFT(TRIM(TO_TEXT($A8)), 2)="2.", LEN(TRIM(TO_TEXT($A8))) - LEN(SUBSTITUTE(TRIM(TO_TEXT($A8)), ".", "")) = 1)</formula>
    </cfRule>
  </conditionalFormatting>
  <dataValidations>
    <dataValidation type="list" allowBlank="1" sqref="J2:J1037">
      <formula1>"FASE 1: DEMANDA Y PRIORIZACIÓN,FASE 2: AUTORIZACIÓN Y FORMALIZACIÓN,FASE 3: DISCOVERY Y DEFINICIÓN (Primer bloque),FASE 4: CONSTRUCCIÓN Y CONTROL (Segundo bloque),FASE 5: VALIDACIÓN Y CIERRE (Tercer bloque)"</formula1>
    </dataValidation>
    <dataValidation type="list" allowBlank="1" sqref="E2:E1037">
      <formula1>"No iniciada,En curso,Bloqueada,Completada,Acuerdo"</formula1>
    </dataValidation>
    <dataValidation type="custom" allowBlank="1" showDropDown="1" sqref="F2:F1037 H2:I1037">
      <formula1>OR(NOT(ISERROR(DATEVALUE(F2))), AND(ISNUMBER(F2), LEFT(CELL("format", F2))="D"))</formula1>
    </dataValidation>
    <dataValidation allowBlank="1" showDropDown="1" sqref="B2:B1037 L2:L1037"/>
    <dataValidation type="list" allowBlank="1" sqref="C2:C1037">
      <formula1>"Bajo,Medio,Alto"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K30"/>
    <hyperlink r:id="rId31" ref="D31"/>
    <hyperlink r:id="rId32" ref="K31"/>
    <hyperlink r:id="rId33" ref="D32"/>
    <hyperlink r:id="rId34" ref="K32"/>
    <hyperlink r:id="rId35" ref="D33"/>
    <hyperlink r:id="rId36" ref="K33"/>
    <hyperlink r:id="rId37" ref="D34"/>
    <hyperlink r:id="rId38" ref="D35"/>
    <hyperlink r:id="rId39" ref="D36"/>
    <hyperlink r:id="rId40" ref="D37"/>
    <hyperlink r:id="rId41" ref="D38"/>
    <hyperlink r:id="rId42" ref="D39"/>
    <hyperlink r:id="rId43" ref="D40"/>
    <hyperlink r:id="rId44" ref="D41"/>
    <hyperlink r:id="rId45" ref="D42"/>
    <hyperlink r:id="rId46" ref="D43"/>
    <hyperlink r:id="rId47" ref="M43"/>
    <hyperlink r:id="rId48" ref="D44"/>
    <hyperlink r:id="rId49" ref="M44"/>
    <hyperlink r:id="rId50" ref="D45"/>
    <hyperlink r:id="rId51" ref="M45"/>
    <hyperlink r:id="rId52" ref="D46"/>
    <hyperlink r:id="rId53" ref="M46"/>
    <hyperlink r:id="rId54" ref="D47"/>
    <hyperlink r:id="rId55" ref="M47"/>
    <hyperlink r:id="rId56" ref="D48"/>
    <hyperlink r:id="rId57" ref="M48"/>
    <hyperlink r:id="rId58" ref="D49"/>
    <hyperlink r:id="rId59" ref="M49"/>
    <hyperlink r:id="rId60" ref="D50"/>
    <hyperlink r:id="rId61" ref="M50"/>
    <hyperlink r:id="rId62" ref="D51"/>
    <hyperlink r:id="rId63" ref="M51"/>
    <hyperlink r:id="rId64" ref="D52"/>
    <hyperlink r:id="rId65" ref="M52"/>
    <hyperlink r:id="rId66" ref="D53"/>
    <hyperlink r:id="rId67" ref="M53"/>
    <hyperlink r:id="rId68" ref="D54"/>
    <hyperlink r:id="rId69" ref="M54"/>
    <hyperlink r:id="rId70" ref="D55"/>
    <hyperlink r:id="rId71" ref="M55"/>
    <hyperlink r:id="rId72" ref="D56"/>
    <hyperlink r:id="rId73" ref="M56"/>
    <hyperlink r:id="rId74" ref="D57"/>
    <hyperlink r:id="rId75" ref="M57"/>
    <hyperlink r:id="rId76" ref="D58"/>
    <hyperlink r:id="rId77" ref="M58"/>
    <hyperlink r:id="rId78" ref="D59"/>
    <hyperlink r:id="rId79" ref="M59"/>
    <hyperlink r:id="rId80" ref="D60"/>
    <hyperlink r:id="rId81" ref="M60"/>
    <hyperlink r:id="rId82" ref="D61"/>
    <hyperlink r:id="rId83" ref="M61"/>
    <hyperlink r:id="rId84" ref="D62"/>
    <hyperlink r:id="rId85" ref="M62"/>
    <hyperlink r:id="rId86" ref="D63"/>
    <hyperlink r:id="rId87" ref="M63"/>
    <hyperlink r:id="rId88" ref="D64"/>
    <hyperlink r:id="rId89" ref="M64"/>
    <hyperlink r:id="rId90" ref="D65"/>
    <hyperlink r:id="rId91" ref="M65"/>
    <hyperlink r:id="rId92" ref="D66"/>
    <hyperlink r:id="rId93" ref="M66"/>
    <hyperlink r:id="rId94" ref="D67"/>
    <hyperlink r:id="rId95" ref="M67"/>
    <hyperlink r:id="rId96" ref="D68"/>
    <hyperlink r:id="rId97" ref="M68"/>
    <hyperlink r:id="rId98" ref="D69"/>
    <hyperlink r:id="rId99" ref="M69"/>
    <hyperlink r:id="rId100" ref="D70"/>
    <hyperlink r:id="rId101" ref="M70"/>
    <hyperlink r:id="rId102" ref="D71"/>
    <hyperlink r:id="rId103" ref="M71"/>
    <hyperlink r:id="rId104" ref="D72"/>
    <hyperlink r:id="rId105" ref="M72"/>
    <hyperlink r:id="rId106" ref="D73"/>
    <hyperlink r:id="rId107" ref="M73"/>
    <hyperlink r:id="rId108" ref="D74"/>
    <hyperlink r:id="rId109" ref="M74"/>
    <hyperlink r:id="rId110" ref="D75"/>
    <hyperlink r:id="rId111" ref="M75"/>
    <hyperlink r:id="rId112" ref="D76"/>
    <hyperlink r:id="rId113" ref="M76"/>
    <hyperlink r:id="rId114" ref="D77"/>
    <hyperlink r:id="rId115" ref="M77"/>
    <hyperlink r:id="rId116" ref="D78"/>
    <hyperlink r:id="rId117" ref="M78"/>
    <hyperlink r:id="rId118" ref="D79"/>
    <hyperlink r:id="rId119" ref="M79"/>
    <hyperlink r:id="rId120" ref="D80"/>
    <hyperlink r:id="rId121" ref="M80"/>
    <hyperlink r:id="rId122" ref="D81"/>
    <hyperlink r:id="rId123" ref="M81"/>
    <hyperlink r:id="rId124" ref="D82"/>
    <hyperlink r:id="rId125" ref="M82"/>
    <hyperlink r:id="rId126" ref="D83"/>
    <hyperlink r:id="rId127" ref="M83"/>
    <hyperlink r:id="rId128" ref="D84"/>
    <hyperlink r:id="rId129" ref="M84"/>
    <hyperlink r:id="rId130" ref="D85"/>
    <hyperlink r:id="rId131" ref="M85"/>
    <hyperlink r:id="rId132" ref="D86"/>
    <hyperlink r:id="rId133" ref="M86"/>
    <hyperlink r:id="rId134" ref="D87"/>
    <hyperlink r:id="rId135" ref="M87"/>
    <hyperlink r:id="rId136" ref="D88"/>
    <hyperlink r:id="rId137" ref="M88"/>
    <hyperlink r:id="rId138" ref="D89"/>
    <hyperlink r:id="rId139" ref="M89"/>
    <hyperlink r:id="rId140" ref="D90"/>
    <hyperlink r:id="rId141" ref="M90"/>
    <hyperlink r:id="rId142" ref="D91"/>
    <hyperlink r:id="rId143" ref="M91"/>
    <hyperlink r:id="rId144" ref="D92"/>
    <hyperlink r:id="rId145" ref="M92"/>
    <hyperlink r:id="rId146" ref="D93"/>
    <hyperlink r:id="rId147" ref="M93"/>
    <hyperlink r:id="rId148" ref="D94"/>
    <hyperlink r:id="rId149" ref="M94"/>
    <hyperlink r:id="rId150" ref="D95"/>
    <hyperlink r:id="rId151" ref="M95"/>
    <hyperlink r:id="rId152" ref="D96"/>
    <hyperlink r:id="rId153" ref="M96"/>
    <hyperlink r:id="rId154" ref="D97"/>
    <hyperlink r:id="rId155" ref="M97"/>
    <hyperlink r:id="rId156" ref="D98"/>
    <hyperlink r:id="rId157" ref="M98"/>
    <hyperlink r:id="rId158" ref="D99"/>
    <hyperlink r:id="rId159" ref="M99"/>
    <hyperlink r:id="rId160" ref="D100"/>
    <hyperlink r:id="rId161" ref="M100"/>
    <hyperlink r:id="rId162" ref="D101"/>
    <hyperlink r:id="rId163" ref="M101"/>
    <hyperlink r:id="rId164" ref="D102"/>
    <hyperlink r:id="rId165" ref="M102"/>
    <hyperlink r:id="rId166" ref="D103"/>
    <hyperlink r:id="rId167" ref="M103"/>
    <hyperlink r:id="rId168" ref="D104"/>
    <hyperlink r:id="rId169" ref="M104"/>
    <hyperlink r:id="rId170" ref="D105"/>
    <hyperlink r:id="rId171" ref="M105"/>
    <hyperlink r:id="rId172" ref="D106"/>
    <hyperlink r:id="rId173" ref="M106"/>
    <hyperlink r:id="rId174" ref="D107"/>
    <hyperlink r:id="rId175" ref="M107"/>
    <hyperlink r:id="rId176" ref="D108"/>
    <hyperlink r:id="rId177" ref="M108"/>
    <hyperlink r:id="rId178" ref="D109"/>
    <hyperlink r:id="rId179" ref="M109"/>
    <hyperlink r:id="rId180" ref="D110"/>
    <hyperlink r:id="rId181" ref="M110"/>
    <hyperlink r:id="rId182" ref="D111"/>
    <hyperlink r:id="rId183" ref="M111"/>
    <hyperlink r:id="rId184" ref="D112"/>
    <hyperlink r:id="rId185" ref="M112"/>
    <hyperlink r:id="rId186" ref="D113"/>
    <hyperlink r:id="rId187" ref="M113"/>
    <hyperlink r:id="rId188" ref="D114"/>
    <hyperlink r:id="rId189" ref="M114"/>
    <hyperlink r:id="rId190" ref="D115"/>
    <hyperlink r:id="rId191" ref="M115"/>
    <hyperlink r:id="rId192" ref="D116"/>
    <hyperlink r:id="rId193" ref="M116"/>
    <hyperlink r:id="rId194" ref="D117"/>
    <hyperlink r:id="rId195" ref="M117"/>
    <hyperlink r:id="rId196" ref="D118"/>
    <hyperlink r:id="rId197" ref="M118"/>
    <hyperlink r:id="rId198" ref="D119"/>
    <hyperlink r:id="rId199" ref="M119"/>
    <hyperlink r:id="rId200" ref="D120"/>
    <hyperlink r:id="rId201" ref="M120"/>
    <hyperlink r:id="rId202" ref="D121"/>
    <hyperlink r:id="rId203" ref="M121"/>
    <hyperlink r:id="rId204" ref="D122"/>
    <hyperlink r:id="rId205" ref="M122"/>
    <hyperlink r:id="rId206" ref="D123"/>
    <hyperlink r:id="rId207" ref="M123"/>
    <hyperlink r:id="rId208" ref="D124"/>
    <hyperlink r:id="rId209" ref="M124"/>
    <hyperlink r:id="rId210" ref="D125"/>
    <hyperlink r:id="rId211" ref="M125"/>
    <hyperlink r:id="rId212" ref="D126"/>
    <hyperlink r:id="rId213" ref="M126"/>
    <hyperlink r:id="rId214" ref="D127"/>
    <hyperlink r:id="rId215" ref="M127"/>
    <hyperlink r:id="rId216" ref="D128"/>
    <hyperlink r:id="rId217" ref="M128"/>
    <hyperlink r:id="rId218" ref="D129"/>
    <hyperlink r:id="rId219" ref="M129"/>
    <hyperlink r:id="rId220" ref="D130"/>
    <hyperlink r:id="rId221" ref="M130"/>
    <hyperlink r:id="rId222" ref="D131"/>
    <hyperlink r:id="rId223" ref="M131"/>
    <hyperlink r:id="rId224" ref="D132"/>
    <hyperlink r:id="rId225" ref="M132"/>
    <hyperlink r:id="rId226" ref="D133"/>
    <hyperlink r:id="rId227" ref="M133"/>
    <hyperlink r:id="rId228" ref="D134"/>
    <hyperlink r:id="rId229" ref="M134"/>
    <hyperlink r:id="rId230" ref="D135"/>
    <hyperlink r:id="rId231" ref="M135"/>
    <hyperlink r:id="rId232" ref="D136"/>
    <hyperlink r:id="rId233" ref="M136"/>
    <hyperlink r:id="rId234" ref="D137"/>
    <hyperlink r:id="rId235" ref="M137"/>
    <hyperlink r:id="rId236" ref="D138"/>
    <hyperlink r:id="rId237" ref="M138"/>
    <hyperlink r:id="rId238" ref="D139"/>
    <hyperlink r:id="rId239" ref="M139"/>
    <hyperlink r:id="rId240" ref="D140"/>
    <hyperlink r:id="rId241" ref="M140"/>
    <hyperlink r:id="rId242" ref="D141"/>
    <hyperlink r:id="rId243" ref="M141"/>
    <hyperlink r:id="rId244" ref="D142"/>
    <hyperlink r:id="rId245" ref="D143"/>
    <hyperlink r:id="rId246" ref="M143"/>
    <hyperlink r:id="rId247" ref="D144"/>
    <hyperlink r:id="rId248" ref="M144"/>
    <hyperlink r:id="rId249" ref="D145"/>
    <hyperlink r:id="rId250" ref="M145"/>
    <hyperlink r:id="rId251" ref="D146"/>
    <hyperlink r:id="rId252" ref="M146"/>
    <hyperlink r:id="rId253" ref="D147"/>
    <hyperlink r:id="rId254" ref="K147"/>
    <hyperlink r:id="rId255" ref="D148"/>
    <hyperlink r:id="rId256" ref="M148"/>
    <hyperlink r:id="rId257" ref="D149"/>
    <hyperlink r:id="rId258" ref="M149"/>
    <hyperlink r:id="rId259" ref="D150"/>
    <hyperlink r:id="rId260" ref="M150"/>
    <hyperlink r:id="rId261" ref="D151"/>
    <hyperlink r:id="rId262" ref="M151"/>
    <hyperlink r:id="rId263" ref="D152"/>
    <hyperlink r:id="rId264" ref="M152"/>
    <hyperlink r:id="rId265" ref="D153"/>
    <hyperlink r:id="rId266" ref="M153"/>
    <hyperlink r:id="rId267" ref="D154"/>
    <hyperlink r:id="rId268" ref="M154"/>
    <hyperlink r:id="rId269" ref="D155"/>
    <hyperlink r:id="rId270" ref="M155"/>
    <hyperlink r:id="rId271" ref="D156"/>
    <hyperlink r:id="rId272" ref="M156"/>
    <hyperlink r:id="rId273" ref="D157"/>
    <hyperlink r:id="rId274" ref="M157"/>
    <hyperlink r:id="rId275" ref="D158"/>
    <hyperlink r:id="rId276" ref="M158"/>
    <hyperlink r:id="rId277" ref="D159"/>
    <hyperlink r:id="rId278" ref="M159"/>
    <hyperlink r:id="rId279" ref="D160"/>
    <hyperlink r:id="rId280" ref="M160"/>
    <hyperlink r:id="rId281" ref="D161"/>
    <hyperlink r:id="rId282" ref="D162"/>
    <hyperlink r:id="rId283" ref="M162"/>
    <hyperlink r:id="rId284" ref="D163"/>
    <hyperlink r:id="rId285" ref="M163"/>
    <hyperlink r:id="rId286" ref="D164"/>
    <hyperlink r:id="rId287" ref="M164"/>
    <hyperlink r:id="rId288" ref="D165"/>
    <hyperlink r:id="rId289" ref="M165"/>
    <hyperlink r:id="rId290" ref="D166"/>
    <hyperlink r:id="rId291" ref="M166"/>
    <hyperlink r:id="rId292" ref="D167"/>
    <hyperlink r:id="rId293" ref="M167"/>
    <hyperlink r:id="rId294" ref="D168"/>
    <hyperlink r:id="rId295" ref="M168"/>
    <hyperlink r:id="rId296" ref="D169"/>
    <hyperlink r:id="rId297" ref="M169"/>
    <hyperlink r:id="rId298" ref="D170"/>
    <hyperlink r:id="rId299" ref="M170"/>
    <hyperlink r:id="rId300" ref="D171"/>
    <hyperlink r:id="rId301" ref="K171"/>
    <hyperlink r:id="rId302" ref="D172"/>
    <hyperlink r:id="rId303" ref="M172"/>
    <hyperlink r:id="rId304" ref="D173"/>
    <hyperlink r:id="rId305" ref="M173"/>
    <hyperlink r:id="rId306" ref="D174"/>
    <hyperlink r:id="rId307" ref="M174"/>
    <hyperlink r:id="rId308" ref="D175"/>
    <hyperlink r:id="rId309" ref="M175"/>
    <hyperlink r:id="rId310" ref="D176"/>
    <hyperlink r:id="rId311" ref="M176"/>
    <hyperlink r:id="rId312" ref="D177"/>
    <hyperlink r:id="rId313" ref="M177"/>
    <hyperlink r:id="rId314" ref="D178"/>
    <hyperlink r:id="rId315" ref="M178"/>
    <hyperlink r:id="rId316" ref="D179"/>
    <hyperlink r:id="rId317" ref="M179"/>
    <hyperlink r:id="rId318" ref="D180"/>
    <hyperlink r:id="rId319" ref="M180"/>
    <hyperlink r:id="rId320" ref="D181"/>
    <hyperlink r:id="rId321" ref="D182"/>
    <hyperlink r:id="rId322" ref="M182"/>
    <hyperlink r:id="rId323" ref="D183"/>
    <hyperlink r:id="rId324" ref="M183"/>
    <hyperlink r:id="rId325" ref="D184"/>
    <hyperlink r:id="rId326" ref="M184"/>
    <hyperlink r:id="rId327" ref="D185"/>
    <hyperlink r:id="rId328" ref="D186"/>
    <hyperlink r:id="rId329" ref="M186"/>
    <hyperlink r:id="rId330" ref="D187"/>
    <hyperlink r:id="rId331" ref="M187"/>
    <hyperlink r:id="rId332" ref="D188"/>
    <hyperlink r:id="rId333" ref="M188"/>
    <hyperlink r:id="rId334" ref="D189"/>
    <hyperlink r:id="rId335" ref="M189"/>
    <hyperlink r:id="rId336" ref="D190"/>
    <hyperlink r:id="rId337" ref="M190"/>
    <hyperlink r:id="rId338" ref="D191"/>
    <hyperlink r:id="rId339" ref="M191"/>
    <hyperlink r:id="rId340" ref="D192"/>
    <hyperlink r:id="rId341" ref="M192"/>
    <hyperlink r:id="rId342" ref="D193"/>
    <hyperlink r:id="rId343" ref="M193"/>
    <hyperlink r:id="rId344" ref="D194"/>
    <hyperlink r:id="rId345" ref="M194"/>
    <hyperlink r:id="rId346" ref="D195"/>
    <hyperlink r:id="rId347" ref="M195"/>
    <hyperlink r:id="rId348" ref="D196"/>
    <hyperlink r:id="rId349" ref="M196"/>
    <hyperlink r:id="rId350" ref="D197"/>
    <hyperlink r:id="rId351" ref="M197"/>
    <hyperlink r:id="rId352" ref="D198"/>
    <hyperlink r:id="rId353" ref="M198"/>
    <hyperlink r:id="rId354" ref="D199"/>
    <hyperlink r:id="rId355" ref="M199"/>
    <hyperlink r:id="rId356" ref="D200"/>
    <hyperlink r:id="rId357" ref="D201"/>
    <hyperlink r:id="rId358" ref="M201"/>
    <hyperlink r:id="rId359" ref="D202"/>
    <hyperlink r:id="rId360" ref="M202"/>
    <hyperlink r:id="rId361" ref="D203"/>
    <hyperlink r:id="rId362" ref="M203"/>
    <hyperlink r:id="rId363" ref="D204"/>
    <hyperlink r:id="rId364" ref="M204"/>
    <hyperlink r:id="rId365" ref="D205"/>
    <hyperlink r:id="rId366" ref="M205"/>
    <hyperlink r:id="rId367" ref="D206"/>
    <hyperlink r:id="rId368" ref="M206"/>
    <hyperlink r:id="rId369" ref="D207"/>
    <hyperlink r:id="rId370" ref="M207"/>
    <hyperlink r:id="rId371" ref="D208"/>
    <hyperlink r:id="rId372" ref="M208"/>
    <hyperlink r:id="rId373" ref="D209"/>
    <hyperlink r:id="rId374" ref="M209"/>
    <hyperlink r:id="rId375" ref="D210"/>
    <hyperlink r:id="rId376" ref="D211"/>
    <hyperlink r:id="rId377" ref="D212"/>
    <hyperlink r:id="rId378" ref="M212"/>
    <hyperlink r:id="rId379" ref="D213"/>
    <hyperlink r:id="rId380" ref="M213"/>
    <hyperlink r:id="rId381" ref="D214"/>
    <hyperlink r:id="rId382" ref="D215"/>
    <hyperlink r:id="rId383" ref="M215"/>
    <hyperlink r:id="rId384" ref="D216"/>
    <hyperlink r:id="rId385" ref="M216"/>
    <hyperlink r:id="rId386" ref="D217"/>
    <hyperlink r:id="rId387" ref="M217"/>
    <hyperlink r:id="rId388" ref="D218"/>
    <hyperlink r:id="rId389" ref="D219"/>
    <hyperlink r:id="rId390" ref="M219"/>
    <hyperlink r:id="rId391" ref="D220"/>
    <hyperlink r:id="rId392" ref="D221"/>
    <hyperlink r:id="rId393" ref="M221"/>
    <hyperlink r:id="rId394" ref="D222"/>
    <hyperlink r:id="rId395" ref="M222"/>
    <hyperlink r:id="rId396" ref="D223"/>
    <hyperlink r:id="rId397" ref="D224"/>
    <hyperlink r:id="rId398" ref="M224"/>
    <hyperlink r:id="rId399" ref="D225"/>
    <hyperlink r:id="rId400" ref="M225"/>
    <hyperlink r:id="rId401" ref="D226"/>
    <hyperlink r:id="rId402" ref="D227"/>
    <hyperlink r:id="rId403" ref="K227"/>
    <hyperlink r:id="rId404" ref="D228"/>
    <hyperlink r:id="rId405" ref="D229"/>
    <hyperlink r:id="rId406" ref="M229"/>
    <hyperlink r:id="rId407" ref="D230"/>
    <hyperlink r:id="rId408" ref="M230"/>
    <hyperlink r:id="rId409" ref="D231"/>
    <hyperlink r:id="rId410" ref="M231"/>
    <hyperlink r:id="rId411" ref="D232"/>
    <hyperlink r:id="rId412" ref="M232"/>
    <hyperlink r:id="rId413" ref="D233"/>
    <hyperlink r:id="rId414" ref="M233"/>
    <hyperlink r:id="rId415" ref="D234"/>
    <hyperlink r:id="rId416" ref="M234"/>
    <hyperlink r:id="rId417" ref="D235"/>
    <hyperlink r:id="rId418" ref="M235"/>
    <hyperlink r:id="rId419" ref="D236"/>
    <hyperlink r:id="rId420" ref="M236"/>
    <hyperlink r:id="rId421" ref="D237"/>
    <hyperlink r:id="rId422" ref="M237"/>
    <hyperlink r:id="rId423" ref="D238"/>
    <hyperlink r:id="rId424" ref="M238"/>
    <hyperlink r:id="rId425" ref="D239"/>
    <hyperlink r:id="rId426" ref="M239"/>
    <hyperlink r:id="rId427" ref="D240"/>
    <hyperlink r:id="rId428" ref="D241"/>
    <hyperlink r:id="rId429" ref="D242"/>
    <hyperlink r:id="rId430" ref="M242"/>
    <hyperlink r:id="rId431" ref="D243"/>
    <hyperlink r:id="rId432" ref="M243"/>
    <hyperlink r:id="rId433" ref="D244"/>
    <hyperlink r:id="rId434" ref="M244"/>
    <hyperlink r:id="rId435" ref="D245"/>
    <hyperlink r:id="rId436" ref="K245"/>
    <hyperlink r:id="rId437" ref="D246"/>
    <hyperlink r:id="rId438" ref="K246"/>
    <hyperlink r:id="rId439" ref="D247"/>
    <hyperlink r:id="rId440" ref="D248"/>
    <hyperlink r:id="rId441" ref="D249"/>
    <hyperlink r:id="rId442" ref="D250"/>
    <hyperlink r:id="rId443" ref="D251"/>
    <hyperlink r:id="rId444" ref="M251"/>
    <hyperlink r:id="rId445" ref="D252"/>
    <hyperlink r:id="rId446" ref="M252"/>
    <hyperlink r:id="rId447" ref="D253"/>
    <hyperlink r:id="rId448" ref="D254"/>
    <hyperlink r:id="rId449" ref="K254"/>
    <hyperlink r:id="rId450" ref="D255"/>
    <hyperlink r:id="rId451" ref="M255"/>
    <hyperlink r:id="rId452" ref="D256"/>
    <hyperlink r:id="rId453" ref="M256"/>
    <hyperlink r:id="rId454" ref="D257"/>
    <hyperlink r:id="rId455" ref="M257"/>
    <hyperlink r:id="rId456" ref="D258"/>
    <hyperlink r:id="rId457" ref="M258"/>
    <hyperlink r:id="rId458" ref="D259"/>
    <hyperlink r:id="rId459" ref="M259"/>
    <hyperlink r:id="rId460" ref="D260"/>
    <hyperlink r:id="rId461" ref="D261"/>
    <hyperlink r:id="rId462" ref="D262"/>
    <hyperlink r:id="rId463" ref="D263"/>
    <hyperlink r:id="rId464" ref="M263"/>
    <hyperlink r:id="rId465" ref="D264"/>
    <hyperlink r:id="rId466" ref="M264"/>
    <hyperlink r:id="rId467" ref="D265"/>
    <hyperlink r:id="rId468" ref="M265"/>
    <hyperlink r:id="rId469" ref="D266"/>
    <hyperlink r:id="rId470" ref="D267"/>
    <hyperlink r:id="rId471" ref="M267"/>
    <hyperlink r:id="rId472" ref="D268"/>
    <hyperlink r:id="rId473" ref="M268"/>
    <hyperlink r:id="rId474" ref="D269"/>
    <hyperlink r:id="rId475" ref="M269"/>
    <hyperlink r:id="rId476" ref="D270"/>
    <hyperlink r:id="rId477" ref="M270"/>
    <hyperlink r:id="rId478" ref="D271"/>
    <hyperlink r:id="rId479" ref="M271"/>
    <hyperlink r:id="rId480" ref="D272"/>
    <hyperlink r:id="rId481" ref="M272"/>
    <hyperlink r:id="rId482" ref="D273"/>
    <hyperlink r:id="rId483" ref="M273"/>
    <hyperlink r:id="rId484" ref="D274"/>
    <hyperlink r:id="rId485" ref="M274"/>
    <hyperlink r:id="rId486" ref="D275"/>
    <hyperlink r:id="rId487" ref="D276"/>
    <hyperlink r:id="rId488" ref="D277"/>
    <hyperlink r:id="rId489" ref="K277"/>
    <hyperlink r:id="rId490" ref="D278"/>
    <hyperlink r:id="rId491" ref="D279"/>
    <hyperlink r:id="rId492" ref="D280"/>
    <hyperlink r:id="rId493" ref="L280"/>
    <hyperlink r:id="rId494" ref="D281"/>
    <hyperlink r:id="rId495" ref="M281"/>
    <hyperlink r:id="rId496" ref="D282"/>
    <hyperlink r:id="rId497" ref="D283"/>
    <hyperlink r:id="rId498" ref="D284"/>
    <hyperlink r:id="rId499" ref="M284"/>
    <hyperlink r:id="rId500" ref="D285"/>
    <hyperlink r:id="rId501" ref="D286"/>
    <hyperlink r:id="rId502" ref="M286"/>
    <hyperlink r:id="rId503" ref="D287"/>
    <hyperlink r:id="rId504" ref="D288"/>
    <hyperlink r:id="rId505" ref="M288"/>
    <hyperlink r:id="rId506" ref="D289"/>
    <hyperlink r:id="rId507" ref="K289"/>
    <hyperlink r:id="rId508" ref="D290"/>
    <hyperlink r:id="rId509" ref="D291"/>
  </hyperlinks>
  <drawing r:id="rId510"/>
  <tableParts count="1">
    <tablePart r:id="rId51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25"/>
    <col customWidth="1" min="2" max="3" width="26.63"/>
  </cols>
  <sheetData>
    <row r="1" ht="22.5" customHeight="1">
      <c r="A1" s="62" t="s">
        <v>65</v>
      </c>
      <c r="B1" s="63" t="s">
        <v>66</v>
      </c>
      <c r="C1" s="63" t="s">
        <v>67</v>
      </c>
    </row>
    <row r="2" ht="22.5" customHeight="1">
      <c r="A2" s="64" t="s">
        <v>68</v>
      </c>
      <c r="B2" s="66" t="s">
        <v>69</v>
      </c>
      <c r="C2" s="69" t="s">
        <v>70</v>
      </c>
    </row>
    <row r="3" ht="22.5" customHeight="1">
      <c r="A3" s="64" t="s">
        <v>75</v>
      </c>
      <c r="B3" s="66" t="s">
        <v>69</v>
      </c>
      <c r="C3" s="69" t="s">
        <v>77</v>
      </c>
    </row>
    <row r="4" ht="22.5" customHeight="1">
      <c r="A4" s="64" t="s">
        <v>78</v>
      </c>
      <c r="B4" s="70"/>
      <c r="C4" s="71"/>
    </row>
    <row r="5" ht="22.5" customHeight="1">
      <c r="A5" s="52" t="s">
        <v>81</v>
      </c>
      <c r="B5" s="66" t="s">
        <v>82</v>
      </c>
      <c r="C5" s="76" t="s">
        <v>84</v>
      </c>
    </row>
    <row r="6" ht="22.5" customHeight="1">
      <c r="A6" s="52" t="s">
        <v>85</v>
      </c>
      <c r="B6" s="66" t="s">
        <v>82</v>
      </c>
      <c r="C6" s="76" t="s">
        <v>85</v>
      </c>
    </row>
    <row r="7" ht="22.5" customHeight="1">
      <c r="A7" s="52" t="s">
        <v>89</v>
      </c>
      <c r="B7" s="66" t="s">
        <v>82</v>
      </c>
      <c r="C7" s="76" t="s">
        <v>89</v>
      </c>
    </row>
    <row r="8" ht="22.5" customHeight="1">
      <c r="A8" s="52" t="s">
        <v>93</v>
      </c>
      <c r="B8" s="66" t="s">
        <v>82</v>
      </c>
      <c r="C8" s="76" t="s">
        <v>93</v>
      </c>
    </row>
    <row r="9" ht="22.5" customHeight="1">
      <c r="A9" s="64" t="s">
        <v>95</v>
      </c>
      <c r="B9" s="70"/>
      <c r="C9" s="71"/>
    </row>
    <row r="10" ht="22.5" customHeight="1">
      <c r="A10" s="64" t="s">
        <v>96</v>
      </c>
      <c r="B10" s="66" t="s">
        <v>82</v>
      </c>
      <c r="C10" s="69" t="s">
        <v>97</v>
      </c>
    </row>
    <row r="11" ht="22.5" customHeight="1">
      <c r="A11" s="64" t="s">
        <v>102</v>
      </c>
      <c r="B11" s="70"/>
      <c r="C11" s="71"/>
    </row>
    <row r="12">
      <c r="A12" s="81"/>
      <c r="B12" s="82"/>
      <c r="C12" s="82"/>
    </row>
    <row r="13">
      <c r="A13" s="82"/>
      <c r="B13" s="82"/>
      <c r="C13" s="82"/>
    </row>
    <row r="14">
      <c r="A14" s="82"/>
      <c r="B14" s="82"/>
      <c r="C14" s="82"/>
    </row>
    <row r="15">
      <c r="A15" s="82"/>
      <c r="B15" s="82"/>
      <c r="C15" s="82"/>
    </row>
    <row r="16">
      <c r="A16" s="82"/>
      <c r="B16" s="82"/>
      <c r="C16" s="82"/>
    </row>
    <row r="17">
      <c r="A17" s="82"/>
      <c r="B17" s="82"/>
      <c r="C17" s="82"/>
    </row>
    <row r="18">
      <c r="A18" s="82"/>
      <c r="B18" s="82"/>
      <c r="C18" s="82"/>
    </row>
    <row r="19">
      <c r="A19" s="82"/>
      <c r="B19" s="82"/>
      <c r="C19" s="82"/>
    </row>
    <row r="20">
      <c r="A20" s="82"/>
      <c r="B20" s="82"/>
      <c r="C20" s="82"/>
    </row>
    <row r="21">
      <c r="A21" s="82"/>
      <c r="B21" s="82"/>
      <c r="C21" s="82"/>
    </row>
    <row r="22">
      <c r="A22" s="82"/>
      <c r="B22" s="82"/>
      <c r="C22" s="82"/>
    </row>
    <row r="23">
      <c r="A23" s="82"/>
      <c r="B23" s="82"/>
      <c r="C23" s="82"/>
    </row>
    <row r="24">
      <c r="A24" s="82"/>
      <c r="B24" s="82"/>
      <c r="C24" s="82"/>
    </row>
    <row r="25">
      <c r="A25" s="82"/>
      <c r="B25" s="82"/>
      <c r="C25" s="82"/>
    </row>
    <row r="26">
      <c r="A26" s="82"/>
      <c r="B26" s="82"/>
      <c r="C26" s="82"/>
    </row>
    <row r="27">
      <c r="A27" s="82"/>
      <c r="B27" s="82"/>
      <c r="C27" s="82"/>
    </row>
    <row r="28">
      <c r="A28" s="82"/>
      <c r="B28" s="82"/>
      <c r="C28" s="82"/>
    </row>
    <row r="29">
      <c r="A29" s="82"/>
      <c r="B29" s="82"/>
      <c r="C29" s="82"/>
    </row>
    <row r="30">
      <c r="A30" s="82"/>
      <c r="B30" s="82"/>
      <c r="C30" s="82"/>
    </row>
    <row r="31">
      <c r="A31" s="82"/>
      <c r="B31" s="82"/>
      <c r="C31" s="82"/>
    </row>
    <row r="32">
      <c r="A32" s="82"/>
      <c r="B32" s="82"/>
      <c r="C32" s="82"/>
    </row>
    <row r="33">
      <c r="A33" s="82"/>
      <c r="B33" s="82"/>
      <c r="C33" s="82"/>
    </row>
    <row r="34">
      <c r="A34" s="83"/>
      <c r="B34" s="83"/>
      <c r="C34" s="83"/>
    </row>
    <row r="35">
      <c r="A35" s="83"/>
      <c r="B35" s="83"/>
      <c r="C35" s="83"/>
    </row>
  </sheetData>
  <dataValidations>
    <dataValidation type="list" allowBlank="1" showErrorMessage="1" sqref="B2:B11">
      <formula1>"Creado,Revisado,En autorización,Autorizado"</formula1>
    </dataValidation>
  </dataValidations>
  <hyperlinks>
    <hyperlink r:id="rId1" ref="C2"/>
    <hyperlink r:id="rId2" ref="C3"/>
    <hyperlink r:id="rId3" ref="C5"/>
    <hyperlink r:id="rId4" ref="C6"/>
    <hyperlink r:id="rId5" ref="C7"/>
    <hyperlink r:id="rId6" ref="C8"/>
    <hyperlink r:id="rId7" ref="C10"/>
  </hyperlinks>
  <drawing r:id="rId8"/>
  <tableParts count="1"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30.88"/>
    <col customWidth="1" min="3" max="3" width="17.13"/>
    <col customWidth="1" min="4" max="4" width="11.13"/>
    <col customWidth="1" min="5" max="5" width="21.88"/>
    <col customWidth="1" min="6" max="6" width="27.0"/>
    <col customWidth="1" min="7" max="7" width="29.5"/>
    <col customWidth="1" min="8" max="8" width="37.63"/>
    <col customWidth="1" min="9" max="9" width="22.25"/>
    <col customWidth="1" min="10" max="10" width="21.0"/>
    <col customWidth="1" min="11" max="12" width="40.25"/>
  </cols>
  <sheetData>
    <row r="2" ht="22.5" customHeight="1">
      <c r="A2" s="62" t="s">
        <v>117</v>
      </c>
      <c r="B2" s="62" t="s">
        <v>118</v>
      </c>
      <c r="C2" s="62" t="s">
        <v>119</v>
      </c>
      <c r="D2" s="62" t="s">
        <v>120</v>
      </c>
      <c r="E2" s="62" t="s">
        <v>121</v>
      </c>
      <c r="F2" s="62" t="s">
        <v>122</v>
      </c>
      <c r="G2" s="62" t="s">
        <v>123</v>
      </c>
      <c r="H2" s="62" t="s">
        <v>124</v>
      </c>
      <c r="I2" s="62" t="s">
        <v>125</v>
      </c>
      <c r="J2" s="63" t="s">
        <v>127</v>
      </c>
      <c r="K2" s="63" t="s">
        <v>128</v>
      </c>
      <c r="L2" s="62" t="s">
        <v>129</v>
      </c>
    </row>
    <row r="3" ht="22.5" customHeight="1">
      <c r="A3" s="86" t="s">
        <v>130</v>
      </c>
      <c r="C3" s="87"/>
      <c r="D3" s="27" t="s">
        <v>131</v>
      </c>
      <c r="F3" s="88"/>
      <c r="G3" s="88"/>
      <c r="H3" s="88"/>
      <c r="I3" s="88"/>
      <c r="J3" s="89"/>
      <c r="K3" s="48"/>
    </row>
    <row r="4" ht="22.5" customHeight="1">
      <c r="A4" s="86" t="s">
        <v>135</v>
      </c>
      <c r="C4" s="87"/>
      <c r="D4" s="27" t="s">
        <v>131</v>
      </c>
      <c r="F4" s="88"/>
      <c r="G4" s="88"/>
      <c r="H4" s="88"/>
      <c r="I4" s="88"/>
      <c r="J4" s="89"/>
      <c r="K4" s="48"/>
    </row>
    <row r="5" ht="22.5" customHeight="1">
      <c r="A5" s="86" t="s">
        <v>138</v>
      </c>
      <c r="C5" s="87"/>
      <c r="D5" s="27" t="s">
        <v>131</v>
      </c>
      <c r="F5" s="88"/>
      <c r="G5" s="88"/>
      <c r="H5" s="88"/>
      <c r="I5" s="88"/>
      <c r="J5" s="89"/>
      <c r="K5" s="48"/>
    </row>
    <row r="6" ht="22.5" customHeight="1">
      <c r="A6" s="86" t="s">
        <v>142</v>
      </c>
      <c r="C6" s="87"/>
      <c r="D6" s="27" t="s">
        <v>131</v>
      </c>
      <c r="F6" s="88"/>
      <c r="G6" s="88"/>
      <c r="H6" s="88"/>
      <c r="I6" s="88"/>
      <c r="J6" s="89"/>
      <c r="K6" s="48"/>
    </row>
    <row r="7" ht="22.5" customHeight="1">
      <c r="A7" s="86" t="s">
        <v>146</v>
      </c>
      <c r="C7" s="87"/>
      <c r="D7" s="27" t="s">
        <v>131</v>
      </c>
      <c r="F7" s="88"/>
      <c r="G7" s="88"/>
      <c r="H7" s="88"/>
      <c r="I7" s="88"/>
      <c r="J7" s="89"/>
      <c r="K7" s="48"/>
    </row>
    <row r="8" ht="22.5" customHeight="1">
      <c r="A8" s="86" t="s">
        <v>148</v>
      </c>
      <c r="C8" s="87"/>
      <c r="D8" s="27" t="s">
        <v>131</v>
      </c>
      <c r="F8" s="88"/>
      <c r="G8" s="88"/>
      <c r="H8" s="88"/>
      <c r="I8" s="88"/>
      <c r="J8" s="89"/>
      <c r="K8" s="48"/>
    </row>
    <row r="9" ht="22.5" customHeight="1">
      <c r="A9" s="86" t="s">
        <v>151</v>
      </c>
      <c r="C9" s="87"/>
      <c r="D9" s="27" t="s">
        <v>131</v>
      </c>
      <c r="F9" s="88"/>
      <c r="G9" s="88"/>
      <c r="H9" s="88"/>
      <c r="I9" s="88"/>
      <c r="J9" s="89"/>
      <c r="K9" s="48"/>
    </row>
  </sheetData>
  <dataValidations>
    <dataValidation type="list" allowBlank="1" sqref="J3:J9">
      <formula1>"Creada,Revisada con desarrollador,En autorización,Aprobada"</formula1>
    </dataValidation>
    <dataValidation type="custom" allowBlank="1" showDropDown="1" sqref="C3:C9">
      <formula1>OR(NOT(ISERROR(DATEVALUE(C3))), AND(ISNUMBER(C3), LEFT(CELL("format", C3))="D"))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8.38"/>
    <col customWidth="1" min="3" max="3" width="17.38"/>
    <col customWidth="1" min="4" max="4" width="33.0"/>
    <col customWidth="1" min="5" max="5" width="20.25"/>
    <col customWidth="1" min="6" max="7" width="16.5"/>
    <col customWidth="1" min="8" max="8" width="19.25"/>
    <col customWidth="1" min="9" max="9" width="60.75"/>
    <col customWidth="1" min="10" max="10" width="21.5"/>
    <col customWidth="1" min="11" max="11" width="16.0"/>
    <col customWidth="1" min="13" max="13" width="27.0"/>
    <col customWidth="1" min="14" max="15" width="23.75"/>
  </cols>
  <sheetData>
    <row r="1">
      <c r="C1" s="97"/>
    </row>
    <row r="2" ht="22.5" customHeight="1">
      <c r="A2" s="98" t="s">
        <v>178</v>
      </c>
      <c r="B2" s="98" t="s">
        <v>181</v>
      </c>
      <c r="C2" s="98" t="s">
        <v>182</v>
      </c>
      <c r="D2" s="98" t="s">
        <v>183</v>
      </c>
      <c r="E2" s="98" t="s">
        <v>184</v>
      </c>
      <c r="F2" s="98" t="s">
        <v>185</v>
      </c>
      <c r="G2" s="98" t="s">
        <v>186</v>
      </c>
      <c r="H2" s="98" t="s">
        <v>27</v>
      </c>
      <c r="I2" s="98" t="s">
        <v>187</v>
      </c>
      <c r="J2" s="98" t="s">
        <v>188</v>
      </c>
      <c r="K2" s="98" t="s">
        <v>189</v>
      </c>
      <c r="L2" s="99" t="s">
        <v>190</v>
      </c>
      <c r="M2" s="98" t="s">
        <v>193</v>
      </c>
      <c r="N2" s="98" t="s">
        <v>195</v>
      </c>
      <c r="O2" s="98" t="s">
        <v>196</v>
      </c>
    </row>
    <row r="3" ht="22.5" customHeight="1">
      <c r="A3" s="100"/>
      <c r="B3" s="101"/>
      <c r="C3" s="103"/>
      <c r="D3" s="101"/>
      <c r="E3" s="101"/>
      <c r="F3" s="104"/>
      <c r="G3" s="104"/>
      <c r="H3" s="101"/>
      <c r="I3" s="101"/>
      <c r="J3" s="101"/>
      <c r="K3" s="105"/>
      <c r="L3" s="106"/>
      <c r="M3" s="105"/>
      <c r="N3" s="107"/>
      <c r="O3" s="107"/>
    </row>
    <row r="4" ht="22.5" customHeight="1">
      <c r="A4" s="100"/>
      <c r="B4" s="100"/>
      <c r="C4" s="103"/>
      <c r="D4" s="101"/>
      <c r="E4" s="101"/>
      <c r="F4" s="104"/>
      <c r="G4" s="104"/>
      <c r="H4" s="101"/>
      <c r="I4" s="108"/>
      <c r="J4" s="101"/>
      <c r="K4" s="105"/>
      <c r="L4" s="101"/>
      <c r="M4" s="105"/>
      <c r="N4" s="107"/>
      <c r="O4" s="107"/>
    </row>
    <row r="5" ht="22.5" customHeight="1">
      <c r="A5" s="100"/>
      <c r="B5" s="100"/>
      <c r="C5" s="103"/>
      <c r="D5" s="101"/>
      <c r="E5" s="101"/>
      <c r="F5" s="104"/>
      <c r="G5" s="104"/>
      <c r="H5" s="101"/>
      <c r="I5" s="101"/>
      <c r="J5" s="101"/>
      <c r="K5" s="105"/>
      <c r="L5" s="106"/>
      <c r="M5" s="105"/>
      <c r="N5" s="107"/>
      <c r="O5" s="107"/>
    </row>
    <row r="6" ht="22.5" customHeight="1">
      <c r="A6" s="100"/>
      <c r="B6" s="100"/>
      <c r="C6" s="103"/>
      <c r="D6" s="101"/>
      <c r="E6" s="109"/>
      <c r="F6" s="104"/>
      <c r="G6" s="104"/>
      <c r="H6" s="101"/>
      <c r="I6" s="101"/>
      <c r="J6" s="101"/>
      <c r="K6" s="105"/>
      <c r="L6" s="106"/>
      <c r="M6" s="105"/>
      <c r="N6" s="107"/>
      <c r="O6" s="107"/>
    </row>
    <row r="7" ht="22.5" customHeight="1">
      <c r="A7" s="100"/>
      <c r="B7" s="100"/>
      <c r="C7" s="103"/>
      <c r="D7" s="101"/>
      <c r="E7" s="101"/>
      <c r="F7" s="104"/>
      <c r="G7" s="104"/>
      <c r="H7" s="101"/>
      <c r="I7" s="101"/>
      <c r="J7" s="101"/>
      <c r="K7" s="105"/>
      <c r="L7" s="106"/>
      <c r="M7" s="105"/>
      <c r="N7" s="107"/>
      <c r="O7" s="107"/>
    </row>
    <row r="8" ht="22.5" customHeight="1">
      <c r="A8" s="100"/>
      <c r="B8" s="100"/>
      <c r="C8" s="103"/>
      <c r="D8" s="101"/>
      <c r="E8" s="101"/>
      <c r="F8" s="101"/>
      <c r="G8" s="101"/>
      <c r="H8" s="101"/>
      <c r="I8" s="101"/>
      <c r="J8" s="101"/>
      <c r="K8" s="105"/>
      <c r="L8" s="106"/>
      <c r="M8" s="105"/>
      <c r="N8" s="107"/>
      <c r="O8" s="107"/>
    </row>
    <row r="9" ht="22.5" customHeight="1">
      <c r="A9" s="100"/>
      <c r="B9" s="100"/>
      <c r="C9" s="103"/>
      <c r="D9" s="101"/>
      <c r="E9" s="101"/>
      <c r="F9" s="101"/>
      <c r="G9" s="101"/>
      <c r="H9" s="101"/>
      <c r="I9" s="101"/>
      <c r="J9" s="101"/>
      <c r="K9" s="113"/>
      <c r="L9" s="106"/>
      <c r="M9" s="105"/>
      <c r="N9" s="107"/>
      <c r="O9" s="107"/>
    </row>
    <row r="10" ht="22.5" customHeight="1">
      <c r="A10" s="100"/>
      <c r="B10" s="100"/>
      <c r="C10" s="103"/>
      <c r="D10" s="101"/>
      <c r="E10" s="101"/>
      <c r="F10" s="101"/>
      <c r="G10" s="101"/>
      <c r="H10" s="101"/>
      <c r="I10" s="101"/>
      <c r="J10" s="101"/>
      <c r="K10" s="105"/>
      <c r="L10" s="106"/>
      <c r="M10" s="105"/>
      <c r="N10" s="107"/>
      <c r="O10" s="107"/>
    </row>
    <row r="11" ht="22.5" customHeight="1">
      <c r="A11" s="100"/>
      <c r="B11" s="100"/>
      <c r="C11" s="103"/>
      <c r="D11" s="101"/>
      <c r="E11" s="101"/>
      <c r="F11" s="101"/>
      <c r="G11" s="101"/>
      <c r="H11" s="101"/>
      <c r="I11" s="101"/>
      <c r="J11" s="101"/>
      <c r="K11" s="105"/>
      <c r="L11" s="106"/>
      <c r="M11" s="105"/>
      <c r="N11" s="107"/>
      <c r="O11" s="107"/>
    </row>
    <row r="12" ht="22.5" customHeight="1">
      <c r="A12" s="100"/>
      <c r="B12" s="100"/>
      <c r="C12" s="103"/>
      <c r="D12" s="101"/>
      <c r="E12" s="101"/>
      <c r="F12" s="101"/>
      <c r="G12" s="101"/>
      <c r="H12" s="101"/>
      <c r="I12" s="101"/>
      <c r="J12" s="101"/>
      <c r="K12" s="105"/>
      <c r="L12" s="106"/>
      <c r="M12" s="105"/>
      <c r="N12" s="107"/>
      <c r="O12" s="107"/>
    </row>
    <row r="13" ht="22.5" customHeight="1">
      <c r="A13" s="100"/>
      <c r="B13" s="100"/>
      <c r="C13" s="103"/>
      <c r="D13" s="101"/>
      <c r="E13" s="101"/>
      <c r="F13" s="101"/>
      <c r="G13" s="101"/>
      <c r="H13" s="101"/>
      <c r="I13" s="101"/>
      <c r="J13" s="101"/>
      <c r="K13" s="113"/>
      <c r="L13" s="106"/>
      <c r="M13" s="105"/>
      <c r="N13" s="107"/>
      <c r="O13" s="107"/>
    </row>
    <row r="14" ht="22.5" customHeight="1">
      <c r="A14" s="100"/>
      <c r="B14" s="100"/>
      <c r="C14" s="103"/>
      <c r="D14" s="101"/>
      <c r="E14" s="101"/>
      <c r="F14" s="101"/>
      <c r="G14" s="101"/>
      <c r="H14" s="101"/>
      <c r="I14" s="101"/>
      <c r="J14" s="101"/>
      <c r="K14" s="113"/>
      <c r="L14" s="106"/>
      <c r="M14" s="105"/>
      <c r="N14" s="107"/>
      <c r="O14" s="107"/>
    </row>
    <row r="15" ht="22.5" customHeight="1">
      <c r="A15" s="100"/>
      <c r="B15" s="114"/>
      <c r="C15" s="115"/>
      <c r="D15" s="116"/>
      <c r="E15" s="117"/>
      <c r="F15" s="118"/>
      <c r="G15" s="118"/>
      <c r="H15" s="117"/>
      <c r="I15" s="119"/>
      <c r="J15" s="118"/>
      <c r="K15" s="120"/>
      <c r="L15" s="121"/>
      <c r="M15" s="122"/>
      <c r="N15" s="123"/>
      <c r="O15" s="123"/>
    </row>
    <row r="16" ht="22.5" customHeight="1">
      <c r="A16" s="100"/>
      <c r="B16" s="100"/>
      <c r="C16" s="103"/>
      <c r="D16" s="101"/>
      <c r="E16" s="101"/>
      <c r="F16" s="101"/>
      <c r="G16" s="101"/>
      <c r="H16" s="101"/>
      <c r="I16" s="101"/>
      <c r="J16" s="101"/>
      <c r="K16" s="122"/>
      <c r="L16" s="101"/>
      <c r="M16" s="122"/>
      <c r="N16" s="107"/>
      <c r="O16" s="107"/>
    </row>
    <row r="17" ht="22.5" customHeight="1">
      <c r="A17" s="100"/>
      <c r="B17" s="100"/>
      <c r="C17" s="103"/>
      <c r="D17" s="101"/>
      <c r="E17" s="101"/>
      <c r="F17" s="101"/>
      <c r="G17" s="101"/>
      <c r="H17" s="101"/>
      <c r="I17" s="101"/>
      <c r="J17" s="101"/>
      <c r="K17" s="122"/>
      <c r="L17" s="101"/>
      <c r="M17" s="122"/>
      <c r="N17" s="107"/>
      <c r="O17" s="107"/>
    </row>
    <row r="18" ht="22.5" customHeight="1">
      <c r="A18" s="100"/>
      <c r="B18" s="100"/>
      <c r="C18" s="103"/>
      <c r="D18" s="101"/>
      <c r="E18" s="101"/>
      <c r="F18" s="101"/>
      <c r="G18" s="101"/>
      <c r="H18" s="101"/>
      <c r="I18" s="101"/>
      <c r="J18" s="101"/>
      <c r="K18" s="122"/>
      <c r="L18" s="101"/>
      <c r="M18" s="122"/>
      <c r="N18" s="107"/>
      <c r="O18" s="107"/>
    </row>
    <row r="19" ht="22.5" customHeight="1">
      <c r="A19" s="100"/>
      <c r="B19" s="100"/>
      <c r="C19" s="103"/>
      <c r="D19" s="101"/>
      <c r="E19" s="101"/>
      <c r="F19" s="101"/>
      <c r="G19" s="101"/>
      <c r="H19" s="101"/>
      <c r="I19" s="101"/>
      <c r="J19" s="101"/>
      <c r="K19" s="122"/>
      <c r="L19" s="106"/>
      <c r="M19" s="122"/>
      <c r="N19" s="107"/>
      <c r="O19" s="107"/>
    </row>
    <row r="20" ht="22.5" customHeight="1">
      <c r="A20" s="100"/>
      <c r="B20" s="100"/>
      <c r="C20" s="103"/>
      <c r="D20" s="79"/>
      <c r="E20" s="101"/>
      <c r="F20" s="101"/>
      <c r="G20" s="101"/>
      <c r="H20" s="101"/>
      <c r="I20" s="101"/>
      <c r="J20" s="101"/>
      <c r="K20" s="125"/>
      <c r="L20" s="106"/>
      <c r="M20" s="126"/>
      <c r="N20" s="107"/>
      <c r="O20" s="107"/>
    </row>
    <row r="21" ht="22.5" customHeight="1">
      <c r="A21" s="100"/>
      <c r="B21" s="100"/>
      <c r="C21" s="103"/>
      <c r="D21" s="79"/>
      <c r="E21" s="101"/>
      <c r="F21" s="101"/>
      <c r="G21" s="101"/>
      <c r="H21" s="101"/>
      <c r="I21" s="101"/>
      <c r="J21" s="101"/>
      <c r="K21" s="113"/>
      <c r="L21" s="106"/>
      <c r="M21" s="105"/>
      <c r="N21" s="107"/>
      <c r="O21" s="107"/>
    </row>
    <row r="22" ht="22.5" customHeight="1">
      <c r="A22" s="100"/>
      <c r="B22" s="100"/>
      <c r="C22" s="103"/>
      <c r="D22" s="101"/>
      <c r="E22" s="101"/>
      <c r="F22" s="101"/>
      <c r="G22" s="101"/>
      <c r="H22" s="101"/>
      <c r="I22" s="101"/>
      <c r="J22" s="101"/>
      <c r="K22" s="122"/>
      <c r="L22" s="106"/>
      <c r="M22" s="122"/>
      <c r="N22" s="107"/>
      <c r="O22" s="107"/>
    </row>
    <row r="23" ht="22.5" customHeight="1">
      <c r="A23" s="100"/>
      <c r="B23" s="100"/>
      <c r="C23" s="103"/>
      <c r="D23" s="101"/>
      <c r="E23" s="101"/>
      <c r="F23" s="101"/>
      <c r="G23" s="101"/>
      <c r="H23" s="101"/>
      <c r="I23" s="101"/>
      <c r="J23" s="101"/>
      <c r="K23" s="120"/>
      <c r="L23" s="106"/>
      <c r="M23" s="122"/>
      <c r="N23" s="107"/>
      <c r="O23" s="107"/>
    </row>
    <row r="24" ht="22.5" customHeight="1">
      <c r="A24" s="100"/>
      <c r="B24" s="100"/>
      <c r="C24" s="103"/>
      <c r="D24" s="101"/>
      <c r="E24" s="101"/>
      <c r="F24" s="101"/>
      <c r="G24" s="101"/>
      <c r="H24" s="101"/>
      <c r="I24" s="101"/>
      <c r="J24" s="101"/>
      <c r="K24" s="120"/>
      <c r="L24" s="106"/>
      <c r="M24" s="122"/>
      <c r="N24" s="107"/>
      <c r="O24" s="107"/>
    </row>
    <row r="25" ht="22.5" customHeight="1">
      <c r="A25" s="100"/>
      <c r="B25" s="100"/>
      <c r="C25" s="103"/>
      <c r="D25" s="101"/>
      <c r="E25" s="101"/>
      <c r="F25" s="101"/>
      <c r="G25" s="101"/>
      <c r="H25" s="101"/>
      <c r="I25" s="101"/>
      <c r="J25" s="101"/>
      <c r="K25" s="120"/>
      <c r="L25" s="106"/>
      <c r="M25" s="122"/>
      <c r="N25" s="107"/>
      <c r="O25" s="107"/>
    </row>
    <row r="26" ht="22.5" customHeight="1">
      <c r="A26" s="100"/>
      <c r="B26" s="100"/>
      <c r="C26" s="103"/>
      <c r="D26" s="101"/>
      <c r="E26" s="101"/>
      <c r="F26" s="101"/>
      <c r="G26" s="101"/>
      <c r="H26" s="101"/>
      <c r="I26" s="101"/>
      <c r="J26" s="101"/>
      <c r="K26" s="122"/>
      <c r="L26" s="106"/>
      <c r="M26" s="122"/>
      <c r="N26" s="107"/>
      <c r="O26" s="107"/>
    </row>
    <row r="27" ht="22.5" customHeight="1">
      <c r="A27" s="100"/>
      <c r="B27" s="100"/>
      <c r="C27" s="103"/>
      <c r="D27" s="79"/>
      <c r="E27" s="101"/>
      <c r="F27" s="101"/>
      <c r="G27" s="101"/>
      <c r="H27" s="101"/>
      <c r="I27" s="101"/>
      <c r="J27" s="101"/>
      <c r="K27" s="125"/>
      <c r="L27" s="106"/>
      <c r="M27" s="126"/>
      <c r="N27" s="107"/>
      <c r="O27" s="107"/>
    </row>
    <row r="28" ht="22.5" customHeight="1">
      <c r="A28" s="100"/>
      <c r="B28" s="100"/>
      <c r="C28" s="133"/>
      <c r="D28" s="79"/>
      <c r="E28" s="101"/>
      <c r="F28" s="101"/>
      <c r="G28" s="101"/>
      <c r="H28" s="101"/>
      <c r="I28" s="101"/>
      <c r="J28" s="101"/>
      <c r="K28" s="125"/>
      <c r="L28" s="106"/>
      <c r="M28" s="126"/>
      <c r="N28" s="107"/>
      <c r="O28" s="107"/>
    </row>
    <row r="29" ht="22.5" customHeight="1">
      <c r="A29" s="100"/>
      <c r="B29" s="100"/>
      <c r="C29" s="133"/>
      <c r="D29" s="79"/>
      <c r="E29" s="101"/>
      <c r="F29" s="101"/>
      <c r="G29" s="101"/>
      <c r="H29" s="101"/>
      <c r="I29" s="101"/>
      <c r="J29" s="101"/>
      <c r="K29" s="125"/>
      <c r="L29" s="106"/>
      <c r="M29" s="126"/>
      <c r="N29" s="107"/>
      <c r="O29" s="107"/>
    </row>
    <row r="30" ht="22.5" customHeight="1">
      <c r="A30" s="100"/>
      <c r="B30" s="100"/>
      <c r="C30" s="103"/>
      <c r="D30" s="79"/>
      <c r="E30" s="101"/>
      <c r="F30" s="101"/>
      <c r="G30" s="101"/>
      <c r="H30" s="101"/>
      <c r="I30" s="101"/>
      <c r="J30" s="101"/>
      <c r="K30" s="125"/>
      <c r="L30" s="106"/>
      <c r="M30" s="126"/>
      <c r="N30" s="107"/>
      <c r="O30" s="107"/>
    </row>
    <row r="31" ht="22.5" customHeight="1">
      <c r="A31" s="100"/>
      <c r="B31" s="100"/>
      <c r="D31" s="27"/>
      <c r="K31" s="144"/>
      <c r="M31" s="145"/>
      <c r="O31" s="146"/>
    </row>
    <row r="32" ht="22.5" customHeight="1">
      <c r="A32" s="100"/>
      <c r="B32" s="100"/>
      <c r="C32" s="103"/>
      <c r="D32" s="79"/>
      <c r="E32" s="101"/>
      <c r="F32" s="101"/>
      <c r="G32" s="101"/>
      <c r="H32" s="101"/>
      <c r="I32" s="101"/>
      <c r="J32" s="101"/>
      <c r="K32" s="113"/>
      <c r="L32" s="106"/>
      <c r="M32" s="105"/>
      <c r="N32" s="107"/>
      <c r="O32" s="107"/>
    </row>
    <row r="33" ht="22.5" customHeight="1">
      <c r="A33" s="100"/>
      <c r="B33" s="100"/>
      <c r="C33" s="103"/>
      <c r="D33" s="79"/>
      <c r="E33" s="101"/>
      <c r="F33" s="101"/>
      <c r="G33" s="101"/>
      <c r="H33" s="101"/>
      <c r="I33" s="101"/>
      <c r="J33" s="101"/>
      <c r="K33" s="113"/>
      <c r="L33" s="106"/>
      <c r="M33" s="105"/>
      <c r="N33" s="107"/>
      <c r="O33" s="107"/>
    </row>
    <row r="34" ht="22.5" customHeight="1">
      <c r="A34" s="100"/>
      <c r="B34" s="100"/>
      <c r="C34" s="103"/>
      <c r="D34" s="79"/>
      <c r="E34" s="101"/>
      <c r="F34" s="101"/>
      <c r="G34" s="101"/>
      <c r="H34" s="101"/>
      <c r="I34" s="101"/>
      <c r="J34" s="101"/>
      <c r="K34" s="125"/>
      <c r="L34" s="106"/>
      <c r="M34" s="126"/>
      <c r="N34" s="107"/>
      <c r="O34" s="107"/>
    </row>
    <row r="35" ht="22.5" customHeight="1">
      <c r="A35" s="100"/>
      <c r="B35" s="100"/>
      <c r="C35" s="103"/>
      <c r="D35" s="79"/>
      <c r="E35" s="101"/>
      <c r="F35" s="101"/>
      <c r="G35" s="101"/>
      <c r="H35" s="101"/>
      <c r="I35" s="101"/>
      <c r="J35" s="101"/>
      <c r="K35" s="125"/>
      <c r="L35" s="106"/>
      <c r="M35" s="126"/>
      <c r="N35" s="107"/>
      <c r="O35" s="107"/>
    </row>
    <row r="36" ht="22.5" customHeight="1">
      <c r="A36" s="100"/>
      <c r="B36" s="100"/>
      <c r="C36" s="103"/>
      <c r="D36" s="79"/>
      <c r="E36" s="101"/>
      <c r="F36" s="101"/>
      <c r="G36" s="101"/>
      <c r="H36" s="101"/>
      <c r="I36" s="101"/>
      <c r="J36" s="101"/>
      <c r="K36" s="113"/>
      <c r="L36" s="106"/>
      <c r="M36" s="105"/>
      <c r="N36" s="107"/>
      <c r="O36" s="107"/>
    </row>
    <row r="37" ht="22.5" customHeight="1">
      <c r="A37" s="100"/>
      <c r="B37" s="100"/>
      <c r="C37" s="103"/>
      <c r="D37" s="79"/>
      <c r="E37" s="101"/>
      <c r="F37" s="101"/>
      <c r="G37" s="101"/>
      <c r="H37" s="101"/>
      <c r="I37" s="101"/>
      <c r="J37" s="101"/>
      <c r="K37" s="125"/>
      <c r="L37" s="106"/>
      <c r="M37" s="126"/>
      <c r="N37" s="107"/>
      <c r="O37" s="107"/>
    </row>
    <row r="38" ht="22.5" customHeight="1">
      <c r="A38" s="100"/>
      <c r="B38" s="100"/>
      <c r="C38" s="103"/>
      <c r="D38" s="79"/>
      <c r="E38" s="101"/>
      <c r="F38" s="101"/>
      <c r="G38" s="101"/>
      <c r="H38" s="101"/>
      <c r="I38" s="101"/>
      <c r="J38" s="101"/>
      <c r="K38" s="125"/>
      <c r="L38" s="106"/>
      <c r="M38" s="126"/>
      <c r="N38" s="107"/>
      <c r="O38" s="107"/>
    </row>
    <row r="39" ht="22.5" customHeight="1">
      <c r="A39" s="100"/>
      <c r="B39" s="100"/>
      <c r="C39" s="103"/>
      <c r="D39" s="79"/>
      <c r="E39" s="101"/>
      <c r="F39" s="101"/>
      <c r="G39" s="101"/>
      <c r="H39" s="101"/>
      <c r="I39" s="101"/>
      <c r="J39" s="101"/>
      <c r="K39" s="125"/>
      <c r="L39" s="106"/>
      <c r="M39" s="126"/>
      <c r="N39" s="107"/>
      <c r="O39" s="107"/>
    </row>
    <row r="40" ht="22.5" customHeight="1">
      <c r="A40" s="100"/>
      <c r="B40" s="100"/>
      <c r="C40" s="103"/>
      <c r="D40" s="101"/>
      <c r="E40" s="101"/>
      <c r="F40" s="101"/>
      <c r="G40" s="101"/>
      <c r="H40" s="101"/>
      <c r="I40" s="101"/>
      <c r="J40" s="101"/>
      <c r="K40" s="126"/>
      <c r="L40" s="106"/>
      <c r="M40" s="126"/>
      <c r="N40" s="107"/>
      <c r="O40" s="107"/>
    </row>
    <row r="41" ht="22.5" customHeight="1">
      <c r="A41" s="100"/>
      <c r="B41" s="100"/>
      <c r="C41" s="103"/>
      <c r="D41" s="79"/>
      <c r="E41" s="101"/>
      <c r="F41" s="101"/>
      <c r="G41" s="101"/>
      <c r="H41" s="101"/>
      <c r="I41" s="101"/>
      <c r="J41" s="101"/>
      <c r="K41" s="125"/>
      <c r="L41" s="106"/>
      <c r="M41" s="126"/>
      <c r="N41" s="107"/>
      <c r="O41" s="107"/>
    </row>
    <row r="42" ht="22.5" customHeight="1">
      <c r="A42" s="100"/>
      <c r="B42" s="100"/>
      <c r="C42" s="103"/>
      <c r="D42" s="79"/>
      <c r="E42" s="101"/>
      <c r="F42" s="101"/>
      <c r="G42" s="101"/>
      <c r="H42" s="101"/>
      <c r="I42" s="101"/>
      <c r="J42" s="101"/>
      <c r="K42" s="125"/>
      <c r="L42" s="106"/>
      <c r="M42" s="126"/>
      <c r="N42" s="107"/>
      <c r="O42" s="107"/>
    </row>
    <row r="43" ht="22.5" customHeight="1">
      <c r="A43" s="100"/>
      <c r="B43" s="100"/>
      <c r="D43" s="147"/>
      <c r="E43" s="101"/>
      <c r="F43" s="101"/>
      <c r="G43" s="101"/>
      <c r="H43" s="101"/>
      <c r="I43" s="101"/>
      <c r="J43" s="101"/>
      <c r="K43" s="125"/>
      <c r="L43" s="106"/>
      <c r="M43" s="126"/>
      <c r="N43" s="107"/>
      <c r="O43" s="107"/>
    </row>
    <row r="44" ht="22.5" customHeight="1">
      <c r="A44" s="100"/>
      <c r="B44" s="100"/>
      <c r="C44" s="103"/>
      <c r="D44" s="79"/>
      <c r="E44" s="101"/>
      <c r="F44" s="101"/>
      <c r="G44" s="101"/>
      <c r="H44" s="101"/>
      <c r="I44" s="101"/>
      <c r="J44" s="101"/>
      <c r="K44" s="125"/>
      <c r="L44" s="106"/>
      <c r="M44" s="126"/>
      <c r="N44" s="107"/>
      <c r="O44" s="107"/>
    </row>
    <row r="45" ht="22.5" customHeight="1">
      <c r="A45" s="100"/>
      <c r="B45" s="100"/>
      <c r="C45" s="103"/>
      <c r="D45" s="79"/>
      <c r="E45" s="101"/>
      <c r="F45" s="101"/>
      <c r="G45" s="101"/>
      <c r="H45" s="101"/>
      <c r="I45" s="101"/>
      <c r="J45" s="101"/>
      <c r="K45" s="125"/>
      <c r="L45" s="106"/>
      <c r="M45" s="126"/>
      <c r="N45" s="107"/>
      <c r="O45" s="107"/>
    </row>
    <row r="46" ht="22.5" customHeight="1">
      <c r="A46" s="100"/>
      <c r="B46" s="100"/>
      <c r="C46" s="103"/>
      <c r="D46" s="79"/>
      <c r="E46" s="101"/>
      <c r="F46" s="101"/>
      <c r="G46" s="101"/>
      <c r="H46" s="101"/>
      <c r="I46" s="101"/>
      <c r="J46" s="101"/>
      <c r="K46" s="125"/>
      <c r="L46" s="106"/>
      <c r="M46" s="126"/>
      <c r="N46" s="107"/>
      <c r="O46" s="107"/>
    </row>
    <row r="47" ht="22.5" customHeight="1">
      <c r="A47" s="100"/>
      <c r="B47" s="100"/>
      <c r="C47" s="103"/>
      <c r="D47" s="79"/>
      <c r="E47" s="101"/>
      <c r="F47" s="101"/>
      <c r="G47" s="101"/>
      <c r="H47" s="101"/>
      <c r="I47" s="101"/>
      <c r="J47" s="101"/>
      <c r="K47" s="125"/>
      <c r="L47" s="106"/>
      <c r="M47" s="126"/>
      <c r="N47" s="107"/>
      <c r="O47" s="107"/>
    </row>
    <row r="48" ht="22.5" customHeight="1">
      <c r="A48" s="100"/>
      <c r="B48" s="100"/>
      <c r="C48" s="103"/>
      <c r="D48" s="79"/>
      <c r="E48" s="101"/>
      <c r="F48" s="101"/>
      <c r="G48" s="101"/>
      <c r="H48" s="101"/>
      <c r="I48" s="101"/>
      <c r="J48" s="101"/>
      <c r="K48" s="125"/>
      <c r="L48" s="106"/>
      <c r="M48" s="126"/>
      <c r="N48" s="107"/>
      <c r="O48" s="107"/>
    </row>
    <row r="49" ht="22.5" customHeight="1">
      <c r="A49" s="100"/>
      <c r="B49" s="100"/>
      <c r="C49" s="103"/>
      <c r="D49" s="101"/>
      <c r="E49" s="101"/>
      <c r="F49" s="101"/>
      <c r="G49" s="101"/>
      <c r="H49" s="101"/>
      <c r="I49" s="101"/>
      <c r="J49" s="101"/>
      <c r="K49" s="126"/>
      <c r="L49" s="106"/>
      <c r="M49" s="126"/>
      <c r="N49" s="107"/>
      <c r="O49" s="107"/>
    </row>
    <row r="50" ht="22.5" customHeight="1">
      <c r="A50" s="100"/>
      <c r="B50" s="100"/>
      <c r="C50" s="103"/>
      <c r="D50" s="79"/>
      <c r="E50" s="101"/>
      <c r="F50" s="101"/>
      <c r="G50" s="101"/>
      <c r="H50" s="101"/>
      <c r="I50" s="101"/>
      <c r="J50" s="101"/>
      <c r="K50" s="125"/>
      <c r="L50" s="106"/>
      <c r="M50" s="126"/>
      <c r="N50" s="107"/>
      <c r="O50" s="107"/>
    </row>
    <row r="51" ht="22.5" customHeight="1">
      <c r="A51" s="100"/>
      <c r="B51" s="101"/>
      <c r="C51" s="101"/>
      <c r="D51" s="79"/>
      <c r="E51" s="101"/>
      <c r="F51" s="108"/>
      <c r="G51" s="101"/>
      <c r="H51" s="101"/>
      <c r="I51" s="101"/>
      <c r="J51" s="101"/>
      <c r="K51" s="125"/>
      <c r="L51" s="108"/>
      <c r="M51" s="126"/>
      <c r="N51" s="107"/>
      <c r="O51" s="107"/>
    </row>
    <row r="52" ht="22.5" customHeight="1">
      <c r="A52" s="100"/>
      <c r="B52" s="101"/>
      <c r="C52" s="101"/>
      <c r="D52" s="79"/>
      <c r="E52" s="101"/>
      <c r="F52" s="108"/>
      <c r="G52" s="101"/>
      <c r="H52" s="101"/>
      <c r="I52" s="101"/>
      <c r="J52" s="101"/>
      <c r="K52" s="125"/>
      <c r="L52" s="108"/>
      <c r="M52" s="126"/>
      <c r="N52" s="107"/>
      <c r="O52" s="107"/>
    </row>
    <row r="53" ht="22.5" customHeight="1">
      <c r="A53" s="100"/>
      <c r="B53" s="101"/>
      <c r="C53" s="101"/>
      <c r="D53" s="79"/>
      <c r="E53" s="101"/>
      <c r="F53" s="108"/>
      <c r="G53" s="101"/>
      <c r="H53" s="101"/>
      <c r="I53" s="101"/>
      <c r="J53" s="101"/>
      <c r="K53" s="125"/>
      <c r="L53" s="108"/>
      <c r="M53" s="126"/>
      <c r="N53" s="107"/>
      <c r="O53" s="107"/>
    </row>
    <row r="54" ht="22.5" customHeight="1">
      <c r="A54" s="100"/>
      <c r="B54" s="101"/>
      <c r="C54" s="101"/>
      <c r="D54" s="79"/>
      <c r="E54" s="101"/>
      <c r="F54" s="108"/>
      <c r="G54" s="101"/>
      <c r="H54" s="101"/>
      <c r="I54" s="101"/>
      <c r="J54" s="101"/>
      <c r="K54" s="125"/>
      <c r="L54" s="108"/>
      <c r="M54" s="126"/>
      <c r="N54" s="107"/>
      <c r="O54" s="107"/>
    </row>
    <row r="55" ht="22.5" customHeight="1">
      <c r="A55" s="100"/>
      <c r="B55" s="101"/>
      <c r="C55" s="101"/>
      <c r="D55" s="79"/>
      <c r="E55" s="101"/>
      <c r="F55" s="108"/>
      <c r="G55" s="101"/>
      <c r="H55" s="101"/>
      <c r="I55" s="101"/>
      <c r="J55" s="101"/>
      <c r="K55" s="125"/>
      <c r="L55" s="108"/>
      <c r="M55" s="126"/>
      <c r="N55" s="107"/>
      <c r="O55" s="107"/>
    </row>
    <row r="56" ht="22.5" customHeight="1">
      <c r="A56" s="100"/>
      <c r="B56" s="101"/>
      <c r="C56" s="101"/>
      <c r="D56" s="79"/>
      <c r="E56" s="101"/>
      <c r="F56" s="108"/>
      <c r="G56" s="101"/>
      <c r="H56" s="101"/>
      <c r="I56" s="101"/>
      <c r="J56" s="101"/>
      <c r="K56" s="125"/>
      <c r="L56" s="108"/>
      <c r="M56" s="126"/>
      <c r="N56" s="107"/>
      <c r="O56" s="107"/>
    </row>
    <row r="57" ht="22.5" customHeight="1">
      <c r="A57" s="100"/>
      <c r="B57" s="101"/>
      <c r="C57" s="101"/>
      <c r="D57" s="79"/>
      <c r="E57" s="101"/>
      <c r="F57" s="108"/>
      <c r="G57" s="101"/>
      <c r="H57" s="101"/>
      <c r="I57" s="101"/>
      <c r="J57" s="101"/>
      <c r="K57" s="125"/>
      <c r="L57" s="108"/>
      <c r="M57" s="126"/>
      <c r="N57" s="107"/>
      <c r="O57" s="107"/>
    </row>
    <row r="58" ht="22.5" customHeight="1">
      <c r="A58" s="100"/>
      <c r="B58" s="101"/>
      <c r="C58" s="101"/>
      <c r="D58" s="79"/>
      <c r="E58" s="101"/>
      <c r="F58" s="108"/>
      <c r="G58" s="101"/>
      <c r="H58" s="101"/>
      <c r="I58" s="101"/>
      <c r="J58" s="101"/>
      <c r="K58" s="125"/>
      <c r="L58" s="108"/>
      <c r="M58" s="126"/>
      <c r="N58" s="154"/>
      <c r="O58" s="154"/>
    </row>
    <row r="59" ht="22.5" customHeight="1">
      <c r="A59" s="100"/>
      <c r="B59" s="101"/>
      <c r="C59" s="101"/>
      <c r="D59" s="79"/>
      <c r="E59" s="101"/>
      <c r="F59" s="108"/>
      <c r="G59" s="101"/>
      <c r="H59" s="101"/>
      <c r="I59" s="101"/>
      <c r="J59" s="101"/>
      <c r="K59" s="125"/>
      <c r="L59" s="108"/>
      <c r="M59" s="126"/>
      <c r="N59" s="154"/>
      <c r="O59" s="154"/>
    </row>
    <row r="60" ht="22.5" customHeight="1">
      <c r="A60" s="100"/>
      <c r="B60" s="101"/>
      <c r="C60" s="101"/>
      <c r="D60" s="79"/>
      <c r="E60" s="101"/>
      <c r="F60" s="108"/>
      <c r="G60" s="108"/>
      <c r="H60" s="108"/>
      <c r="I60" s="79"/>
      <c r="J60" s="101"/>
      <c r="K60" s="125"/>
      <c r="L60" s="108"/>
      <c r="M60" s="126"/>
      <c r="N60" s="154"/>
      <c r="O60" s="154"/>
    </row>
    <row r="61" ht="22.5" customHeight="1">
      <c r="A61" s="100"/>
      <c r="B61" s="101"/>
      <c r="C61" s="101"/>
      <c r="D61" s="79"/>
      <c r="E61" s="79"/>
      <c r="F61" s="94"/>
      <c r="G61" s="94"/>
      <c r="H61" s="79"/>
      <c r="I61" s="79"/>
      <c r="J61" s="79"/>
      <c r="K61" s="155"/>
      <c r="L61" s="108"/>
      <c r="M61" s="156"/>
      <c r="N61" s="94"/>
      <c r="O61" s="157"/>
    </row>
    <row r="62" ht="22.5" customHeight="1">
      <c r="A62" s="100"/>
      <c r="B62" s="101"/>
      <c r="C62" s="101"/>
      <c r="D62" s="79"/>
      <c r="E62" s="79"/>
      <c r="F62" s="94"/>
      <c r="G62" s="94"/>
      <c r="H62" s="79"/>
      <c r="I62" s="79"/>
      <c r="J62" s="79"/>
      <c r="K62" s="155"/>
      <c r="L62" s="108"/>
      <c r="M62" s="156"/>
      <c r="N62" s="94"/>
      <c r="O62" s="157"/>
    </row>
    <row r="63" ht="22.5" customHeight="1">
      <c r="A63" s="100"/>
      <c r="B63" s="101"/>
      <c r="C63" s="101"/>
      <c r="D63" s="79"/>
      <c r="E63" s="79"/>
      <c r="F63" s="94"/>
      <c r="G63" s="94"/>
      <c r="H63" s="79"/>
      <c r="I63" s="79"/>
      <c r="J63" s="79"/>
      <c r="K63" s="155"/>
      <c r="L63" s="108"/>
      <c r="M63" s="156"/>
      <c r="N63" s="94"/>
      <c r="O63" s="157"/>
    </row>
    <row r="64" ht="22.5" customHeight="1">
      <c r="A64" s="100"/>
      <c r="B64" s="101"/>
      <c r="C64" s="101"/>
      <c r="D64" s="79"/>
      <c r="E64" s="158"/>
      <c r="F64" s="94"/>
      <c r="G64" s="94"/>
      <c r="H64" s="79"/>
      <c r="I64" s="79"/>
      <c r="J64" s="79"/>
      <c r="K64" s="155"/>
      <c r="L64" s="108"/>
      <c r="M64" s="156"/>
      <c r="N64" s="94"/>
      <c r="O64" s="157"/>
    </row>
    <row r="65" ht="22.5" customHeight="1">
      <c r="A65" s="100"/>
      <c r="B65" s="101"/>
      <c r="C65" s="101"/>
      <c r="D65" s="79"/>
      <c r="E65" s="101"/>
      <c r="F65" s="108"/>
      <c r="G65" s="108"/>
      <c r="H65" s="108"/>
      <c r="I65" s="79"/>
      <c r="J65" s="108"/>
      <c r="K65" s="125"/>
      <c r="L65" s="108"/>
      <c r="M65" s="126"/>
      <c r="N65" s="154"/>
      <c r="O65" s="154"/>
    </row>
    <row r="66" ht="22.5" customHeight="1">
      <c r="A66" s="100"/>
      <c r="B66" s="101"/>
      <c r="C66" s="101"/>
      <c r="D66" s="79"/>
      <c r="E66" s="101"/>
      <c r="F66" s="108"/>
      <c r="G66" s="108"/>
      <c r="H66" s="108"/>
      <c r="I66" s="79"/>
      <c r="J66" s="108"/>
      <c r="K66" s="125"/>
      <c r="L66" s="108"/>
      <c r="M66" s="126"/>
      <c r="N66" s="154"/>
      <c r="O66" s="154"/>
    </row>
    <row r="67" ht="22.5" customHeight="1">
      <c r="A67" s="100"/>
      <c r="B67" s="101"/>
      <c r="C67" s="101"/>
      <c r="D67" s="79"/>
      <c r="E67" s="101"/>
      <c r="F67" s="108"/>
      <c r="G67" s="108"/>
      <c r="H67" s="108"/>
      <c r="I67" s="79"/>
      <c r="J67" s="108"/>
      <c r="K67" s="125"/>
      <c r="L67" s="108"/>
      <c r="M67" s="126"/>
      <c r="N67" s="154"/>
      <c r="O67" s="154"/>
    </row>
    <row r="68" ht="22.5" customHeight="1">
      <c r="A68" s="100"/>
      <c r="B68" s="101"/>
      <c r="C68" s="101"/>
      <c r="D68" s="79"/>
      <c r="E68" s="101"/>
      <c r="F68" s="108"/>
      <c r="G68" s="108"/>
      <c r="H68" s="108"/>
      <c r="I68" s="79"/>
      <c r="J68" s="108"/>
      <c r="K68" s="125"/>
      <c r="L68" s="108"/>
      <c r="M68" s="126"/>
      <c r="N68" s="154"/>
      <c r="O68" s="154"/>
    </row>
    <row r="69" ht="22.5" customHeight="1">
      <c r="A69" s="100"/>
      <c r="B69" s="101"/>
      <c r="C69" s="101"/>
      <c r="D69" s="79"/>
      <c r="E69" s="101"/>
      <c r="F69" s="108"/>
      <c r="G69" s="108"/>
      <c r="H69" s="108"/>
      <c r="I69" s="79"/>
      <c r="J69" s="108"/>
      <c r="K69" s="125"/>
      <c r="L69" s="108"/>
      <c r="M69" s="126"/>
      <c r="N69" s="154"/>
      <c r="O69" s="154"/>
    </row>
    <row r="70" ht="22.5" customHeight="1">
      <c r="A70" s="100"/>
      <c r="B70" s="101"/>
      <c r="C70" s="101"/>
      <c r="D70" s="79"/>
      <c r="E70" s="101"/>
      <c r="F70" s="108"/>
      <c r="G70" s="108"/>
      <c r="H70" s="108"/>
      <c r="I70" s="79"/>
      <c r="J70" s="108"/>
      <c r="K70" s="125"/>
      <c r="L70" s="108"/>
      <c r="M70" s="126"/>
      <c r="N70" s="154"/>
      <c r="O70" s="154"/>
    </row>
    <row r="71" ht="22.5" customHeight="1">
      <c r="A71" s="100"/>
      <c r="B71" s="101"/>
      <c r="C71" s="101"/>
      <c r="D71" s="79"/>
      <c r="E71" s="101"/>
      <c r="F71" s="108"/>
      <c r="G71" s="108"/>
      <c r="H71" s="108"/>
      <c r="I71" s="79"/>
      <c r="J71" s="108"/>
      <c r="K71" s="125"/>
      <c r="L71" s="108"/>
      <c r="M71" s="126"/>
      <c r="N71" s="154"/>
      <c r="O71" s="154"/>
    </row>
    <row r="72" ht="22.5" customHeight="1">
      <c r="A72" s="100"/>
      <c r="B72" s="101"/>
      <c r="C72" s="101"/>
      <c r="D72" s="79"/>
      <c r="E72" s="101"/>
      <c r="F72" s="108"/>
      <c r="G72" s="108"/>
      <c r="H72" s="108"/>
      <c r="I72" s="79"/>
      <c r="J72" s="108"/>
      <c r="K72" s="125"/>
      <c r="L72" s="108"/>
      <c r="M72" s="126"/>
      <c r="N72" s="154"/>
      <c r="O72" s="154"/>
    </row>
    <row r="73" ht="22.5" customHeight="1">
      <c r="A73" s="100"/>
      <c r="B73" s="101"/>
      <c r="C73" s="101"/>
      <c r="D73" s="101"/>
      <c r="E73" s="101"/>
      <c r="F73" s="108"/>
      <c r="G73" s="108"/>
      <c r="H73" s="108"/>
      <c r="I73" s="79"/>
      <c r="J73" s="108"/>
      <c r="K73" s="125"/>
      <c r="L73" s="108"/>
      <c r="M73" s="126"/>
      <c r="N73" s="154"/>
      <c r="O73" s="154"/>
    </row>
    <row r="74" ht="22.5" customHeight="1">
      <c r="A74" s="100"/>
      <c r="B74" s="101"/>
      <c r="C74" s="101"/>
      <c r="D74" s="101"/>
      <c r="E74" s="101"/>
      <c r="F74" s="108"/>
      <c r="G74" s="108"/>
      <c r="H74" s="108"/>
      <c r="I74" s="79"/>
      <c r="J74" s="108"/>
      <c r="K74" s="125"/>
      <c r="L74" s="108"/>
      <c r="M74" s="126"/>
      <c r="N74" s="154"/>
      <c r="O74" s="154"/>
    </row>
    <row r="75" ht="22.5" customHeight="1">
      <c r="A75" s="100"/>
      <c r="B75" s="101"/>
      <c r="C75" s="101"/>
      <c r="D75" s="101"/>
      <c r="E75" s="101"/>
      <c r="F75" s="108"/>
      <c r="G75" s="108"/>
      <c r="H75" s="108"/>
      <c r="I75" s="79"/>
      <c r="J75" s="108"/>
      <c r="K75" s="125"/>
      <c r="L75" s="108"/>
      <c r="M75" s="126"/>
      <c r="N75" s="154"/>
      <c r="O75" s="154"/>
    </row>
    <row r="76">
      <c r="A76" s="159"/>
      <c r="B76" s="159"/>
      <c r="C76" s="160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</row>
    <row r="77">
      <c r="A77" s="159"/>
      <c r="B77" s="159"/>
      <c r="C77" s="160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</row>
    <row r="78">
      <c r="A78" s="159"/>
      <c r="B78" s="159"/>
      <c r="C78" s="160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</row>
    <row r="79">
      <c r="C79" s="97"/>
    </row>
    <row r="80">
      <c r="C80" s="97"/>
    </row>
    <row r="81">
      <c r="C81" s="97"/>
    </row>
    <row r="82">
      <c r="C82" s="97"/>
    </row>
    <row r="83">
      <c r="C83" s="97"/>
    </row>
    <row r="84">
      <c r="C84" s="97"/>
    </row>
    <row r="85">
      <c r="C85" s="97"/>
    </row>
    <row r="86">
      <c r="C86" s="97"/>
    </row>
    <row r="87">
      <c r="C87" s="97"/>
    </row>
    <row r="88">
      <c r="C88" s="97"/>
    </row>
    <row r="89">
      <c r="C89" s="97"/>
    </row>
    <row r="90">
      <c r="C90" s="97"/>
    </row>
    <row r="91">
      <c r="C91" s="97"/>
    </row>
    <row r="92">
      <c r="C92" s="97"/>
    </row>
    <row r="93">
      <c r="C93" s="97"/>
    </row>
    <row r="94">
      <c r="C94" s="97"/>
    </row>
    <row r="95">
      <c r="C95" s="97"/>
    </row>
    <row r="96">
      <c r="C96" s="97"/>
    </row>
    <row r="97">
      <c r="C97" s="97"/>
    </row>
    <row r="98">
      <c r="C98" s="97"/>
    </row>
    <row r="99">
      <c r="C99" s="97"/>
    </row>
    <row r="100">
      <c r="C100" s="97"/>
    </row>
    <row r="101">
      <c r="C101" s="97"/>
    </row>
    <row r="102">
      <c r="C102" s="97"/>
    </row>
    <row r="103">
      <c r="C103" s="97"/>
    </row>
    <row r="104">
      <c r="C104" s="97"/>
    </row>
    <row r="105">
      <c r="C105" s="97"/>
    </row>
    <row r="106">
      <c r="C106" s="97"/>
    </row>
    <row r="107">
      <c r="C107" s="97"/>
    </row>
    <row r="108">
      <c r="C108" s="97"/>
    </row>
    <row r="109">
      <c r="C109" s="97"/>
    </row>
    <row r="110">
      <c r="C110" s="97"/>
    </row>
    <row r="111">
      <c r="C111" s="97"/>
    </row>
    <row r="112">
      <c r="C112" s="97"/>
    </row>
    <row r="113">
      <c r="C113" s="97"/>
    </row>
    <row r="114">
      <c r="C114" s="97"/>
    </row>
    <row r="115">
      <c r="C115" s="97"/>
    </row>
    <row r="116">
      <c r="C116" s="97"/>
    </row>
    <row r="117">
      <c r="C117" s="97"/>
    </row>
    <row r="118">
      <c r="C118" s="97"/>
    </row>
    <row r="119">
      <c r="C119" s="97"/>
    </row>
    <row r="120">
      <c r="C120" s="97"/>
    </row>
    <row r="121">
      <c r="C121" s="97"/>
    </row>
    <row r="122">
      <c r="C122" s="97"/>
    </row>
    <row r="123">
      <c r="C123" s="97"/>
    </row>
    <row r="124">
      <c r="C124" s="97"/>
    </row>
    <row r="125">
      <c r="C125" s="97"/>
    </row>
    <row r="126">
      <c r="C126" s="97"/>
    </row>
    <row r="127">
      <c r="C127" s="97"/>
    </row>
    <row r="128">
      <c r="C128" s="97"/>
    </row>
    <row r="129">
      <c r="C129" s="97"/>
    </row>
    <row r="130">
      <c r="C130" s="97"/>
    </row>
    <row r="131">
      <c r="C131" s="97"/>
    </row>
    <row r="132">
      <c r="C132" s="97"/>
    </row>
    <row r="133">
      <c r="C133" s="97"/>
    </row>
    <row r="134">
      <c r="C134" s="97"/>
    </row>
    <row r="135">
      <c r="C135" s="97"/>
    </row>
    <row r="136">
      <c r="C136" s="97"/>
    </row>
    <row r="137">
      <c r="C137" s="97"/>
    </row>
    <row r="138">
      <c r="C138" s="97"/>
    </row>
    <row r="139">
      <c r="C139" s="97"/>
    </row>
    <row r="140">
      <c r="C140" s="97"/>
    </row>
    <row r="141">
      <c r="C141" s="97"/>
    </row>
    <row r="142">
      <c r="C142" s="97"/>
    </row>
    <row r="143">
      <c r="C143" s="97"/>
    </row>
    <row r="144">
      <c r="C144" s="97"/>
    </row>
    <row r="145">
      <c r="C145" s="97"/>
    </row>
    <row r="146">
      <c r="C146" s="97"/>
    </row>
    <row r="147">
      <c r="C147" s="97"/>
    </row>
    <row r="148">
      <c r="C148" s="97"/>
    </row>
    <row r="149">
      <c r="C149" s="97"/>
    </row>
    <row r="150">
      <c r="C150" s="97"/>
    </row>
    <row r="151">
      <c r="C151" s="97"/>
    </row>
    <row r="152">
      <c r="C152" s="97"/>
    </row>
    <row r="153">
      <c r="C153" s="97"/>
    </row>
    <row r="154">
      <c r="C154" s="97"/>
    </row>
    <row r="155">
      <c r="C155" s="97"/>
    </row>
    <row r="156">
      <c r="C156" s="97"/>
    </row>
    <row r="157">
      <c r="C157" s="97"/>
    </row>
    <row r="158">
      <c r="C158" s="97"/>
    </row>
    <row r="159">
      <c r="C159" s="97"/>
    </row>
    <row r="160">
      <c r="C160" s="97"/>
    </row>
    <row r="161">
      <c r="C161" s="97"/>
    </row>
    <row r="162">
      <c r="C162" s="97"/>
    </row>
    <row r="163">
      <c r="C163" s="97"/>
    </row>
    <row r="164">
      <c r="C164" s="97"/>
    </row>
    <row r="165">
      <c r="C165" s="97"/>
    </row>
    <row r="166">
      <c r="C166" s="97"/>
    </row>
    <row r="167">
      <c r="C167" s="97"/>
    </row>
    <row r="168">
      <c r="C168" s="97"/>
    </row>
    <row r="169">
      <c r="C169" s="97"/>
    </row>
    <row r="170">
      <c r="C170" s="97"/>
    </row>
    <row r="171">
      <c r="C171" s="97"/>
    </row>
    <row r="172">
      <c r="C172" s="97"/>
    </row>
    <row r="173">
      <c r="C173" s="97"/>
    </row>
    <row r="174">
      <c r="C174" s="97"/>
    </row>
    <row r="175">
      <c r="C175" s="97"/>
    </row>
    <row r="176">
      <c r="C176" s="97"/>
    </row>
    <row r="177">
      <c r="C177" s="97"/>
    </row>
    <row r="178">
      <c r="C178" s="97"/>
    </row>
    <row r="179">
      <c r="C179" s="97"/>
    </row>
    <row r="180">
      <c r="C180" s="97"/>
    </row>
    <row r="181">
      <c r="C181" s="97"/>
    </row>
    <row r="182">
      <c r="C182" s="97"/>
    </row>
    <row r="183">
      <c r="C183" s="97"/>
    </row>
    <row r="184">
      <c r="C184" s="97"/>
    </row>
    <row r="185">
      <c r="C185" s="97"/>
    </row>
    <row r="186">
      <c r="C186" s="97"/>
    </row>
    <row r="187">
      <c r="C187" s="97"/>
    </row>
    <row r="188">
      <c r="C188" s="97"/>
    </row>
    <row r="189">
      <c r="C189" s="97"/>
    </row>
    <row r="190">
      <c r="C190" s="97"/>
    </row>
    <row r="191">
      <c r="C191" s="97"/>
    </row>
    <row r="192">
      <c r="C192" s="97"/>
    </row>
    <row r="193">
      <c r="C193" s="97"/>
    </row>
    <row r="194">
      <c r="C194" s="97"/>
    </row>
    <row r="195">
      <c r="C195" s="97"/>
    </row>
    <row r="196">
      <c r="C196" s="97"/>
    </row>
    <row r="197">
      <c r="C197" s="97"/>
    </row>
    <row r="198">
      <c r="C198" s="97"/>
    </row>
    <row r="199">
      <c r="C199" s="97"/>
    </row>
    <row r="200">
      <c r="C200" s="97"/>
    </row>
    <row r="201">
      <c r="C201" s="97"/>
    </row>
    <row r="202">
      <c r="C202" s="97"/>
    </row>
    <row r="203">
      <c r="C203" s="97"/>
    </row>
    <row r="204">
      <c r="C204" s="97"/>
    </row>
    <row r="205">
      <c r="C205" s="97"/>
    </row>
    <row r="206">
      <c r="C206" s="97"/>
    </row>
    <row r="207">
      <c r="C207" s="97"/>
    </row>
    <row r="208">
      <c r="C208" s="97"/>
    </row>
    <row r="209">
      <c r="C209" s="97"/>
    </row>
    <row r="210">
      <c r="C210" s="97"/>
    </row>
    <row r="211">
      <c r="C211" s="97"/>
    </row>
    <row r="212">
      <c r="C212" s="97"/>
    </row>
    <row r="213">
      <c r="C213" s="97"/>
    </row>
    <row r="214">
      <c r="C214" s="97"/>
    </row>
    <row r="215">
      <c r="C215" s="97"/>
    </row>
    <row r="216">
      <c r="C216" s="97"/>
    </row>
    <row r="217">
      <c r="C217" s="97"/>
    </row>
    <row r="218">
      <c r="C218" s="97"/>
    </row>
    <row r="219">
      <c r="C219" s="97"/>
    </row>
    <row r="220">
      <c r="C220" s="97"/>
    </row>
    <row r="221">
      <c r="C221" s="97"/>
    </row>
    <row r="222">
      <c r="C222" s="97"/>
    </row>
    <row r="223">
      <c r="C223" s="97"/>
    </row>
    <row r="224">
      <c r="C224" s="97"/>
    </row>
    <row r="225">
      <c r="C225" s="97"/>
    </row>
    <row r="226">
      <c r="C226" s="97"/>
    </row>
    <row r="227">
      <c r="C227" s="97"/>
    </row>
    <row r="228">
      <c r="C228" s="97"/>
    </row>
    <row r="229">
      <c r="C229" s="97"/>
    </row>
    <row r="230">
      <c r="C230" s="97"/>
    </row>
    <row r="231">
      <c r="C231" s="97"/>
    </row>
    <row r="232">
      <c r="C232" s="97"/>
    </row>
    <row r="233">
      <c r="C233" s="97"/>
    </row>
    <row r="234">
      <c r="C234" s="97"/>
    </row>
    <row r="235">
      <c r="C235" s="97"/>
    </row>
    <row r="236">
      <c r="C236" s="97"/>
    </row>
    <row r="237">
      <c r="C237" s="97"/>
    </row>
    <row r="238">
      <c r="C238" s="97"/>
    </row>
    <row r="239">
      <c r="C239" s="97"/>
    </row>
    <row r="240">
      <c r="C240" s="97"/>
    </row>
    <row r="241">
      <c r="C241" s="97"/>
    </row>
    <row r="242">
      <c r="C242" s="97"/>
    </row>
    <row r="243">
      <c r="C243" s="97"/>
    </row>
    <row r="244">
      <c r="C244" s="97"/>
    </row>
    <row r="245">
      <c r="C245" s="97"/>
    </row>
    <row r="246">
      <c r="C246" s="97"/>
    </row>
    <row r="247">
      <c r="C247" s="97"/>
    </row>
    <row r="248">
      <c r="C248" s="97"/>
    </row>
    <row r="249">
      <c r="C249" s="97"/>
    </row>
    <row r="250">
      <c r="C250" s="97"/>
    </row>
    <row r="251">
      <c r="C251" s="97"/>
    </row>
    <row r="252">
      <c r="C252" s="97"/>
    </row>
    <row r="253">
      <c r="C253" s="97"/>
    </row>
    <row r="254">
      <c r="C254" s="97"/>
    </row>
    <row r="255">
      <c r="C255" s="97"/>
    </row>
    <row r="256">
      <c r="C256" s="97"/>
    </row>
    <row r="257">
      <c r="C257" s="97"/>
    </row>
    <row r="258">
      <c r="C258" s="97"/>
    </row>
    <row r="259">
      <c r="C259" s="97"/>
    </row>
    <row r="260">
      <c r="C260" s="97"/>
    </row>
    <row r="261">
      <c r="C261" s="97"/>
    </row>
    <row r="262">
      <c r="C262" s="97"/>
    </row>
    <row r="263">
      <c r="C263" s="97"/>
    </row>
    <row r="264">
      <c r="C264" s="97"/>
    </row>
    <row r="265">
      <c r="C265" s="97"/>
    </row>
    <row r="266">
      <c r="C266" s="97"/>
    </row>
    <row r="267">
      <c r="C267" s="97"/>
    </row>
    <row r="268">
      <c r="C268" s="97"/>
    </row>
    <row r="269">
      <c r="C269" s="97"/>
    </row>
    <row r="270">
      <c r="C270" s="97"/>
    </row>
    <row r="271">
      <c r="C271" s="97"/>
    </row>
    <row r="272">
      <c r="C272" s="97"/>
    </row>
    <row r="273">
      <c r="C273" s="97"/>
    </row>
    <row r="274">
      <c r="C274" s="97"/>
    </row>
    <row r="275">
      <c r="C275" s="97"/>
    </row>
    <row r="276">
      <c r="C276" s="97"/>
    </row>
    <row r="277">
      <c r="C277" s="97"/>
    </row>
    <row r="278">
      <c r="C278" s="97"/>
    </row>
    <row r="279">
      <c r="C279" s="97"/>
    </row>
    <row r="280">
      <c r="C280" s="97"/>
    </row>
    <row r="281">
      <c r="C281" s="97"/>
    </row>
    <row r="282">
      <c r="C282" s="97"/>
    </row>
    <row r="283">
      <c r="C283" s="97"/>
    </row>
    <row r="284">
      <c r="C284" s="97"/>
    </row>
    <row r="285">
      <c r="C285" s="97"/>
    </row>
    <row r="286">
      <c r="C286" s="97"/>
    </row>
    <row r="287">
      <c r="C287" s="97"/>
    </row>
    <row r="288">
      <c r="C288" s="97"/>
    </row>
    <row r="289">
      <c r="C289" s="97"/>
    </row>
    <row r="290">
      <c r="C290" s="97"/>
    </row>
    <row r="291">
      <c r="C291" s="97"/>
    </row>
    <row r="292">
      <c r="C292" s="97"/>
    </row>
    <row r="293">
      <c r="C293" s="97"/>
    </row>
    <row r="294">
      <c r="C294" s="97"/>
    </row>
    <row r="295">
      <c r="C295" s="97"/>
    </row>
    <row r="296">
      <c r="C296" s="97"/>
    </row>
    <row r="297">
      <c r="C297" s="97"/>
    </row>
    <row r="298">
      <c r="C298" s="97"/>
    </row>
    <row r="299">
      <c r="C299" s="97"/>
    </row>
    <row r="300">
      <c r="C300" s="97"/>
    </row>
    <row r="301">
      <c r="C301" s="97"/>
    </row>
    <row r="302">
      <c r="C302" s="97"/>
    </row>
    <row r="303">
      <c r="C303" s="97"/>
    </row>
    <row r="304">
      <c r="C304" s="97"/>
    </row>
    <row r="305">
      <c r="C305" s="97"/>
    </row>
    <row r="306">
      <c r="C306" s="97"/>
    </row>
    <row r="307">
      <c r="C307" s="97"/>
    </row>
    <row r="308">
      <c r="C308" s="97"/>
    </row>
    <row r="309">
      <c r="C309" s="97"/>
    </row>
    <row r="310">
      <c r="C310" s="97"/>
    </row>
    <row r="311">
      <c r="C311" s="97"/>
    </row>
    <row r="312">
      <c r="C312" s="97"/>
    </row>
    <row r="313">
      <c r="C313" s="97"/>
    </row>
    <row r="314">
      <c r="C314" s="97"/>
    </row>
    <row r="315">
      <c r="C315" s="97"/>
    </row>
    <row r="316">
      <c r="C316" s="97"/>
    </row>
    <row r="317">
      <c r="C317" s="97"/>
    </row>
    <row r="318">
      <c r="C318" s="97"/>
    </row>
    <row r="319">
      <c r="C319" s="97"/>
    </row>
    <row r="320">
      <c r="C320" s="97"/>
    </row>
    <row r="321">
      <c r="C321" s="97"/>
    </row>
    <row r="322">
      <c r="C322" s="97"/>
    </row>
    <row r="323">
      <c r="C323" s="97"/>
    </row>
    <row r="324">
      <c r="C324" s="97"/>
    </row>
    <row r="325">
      <c r="C325" s="97"/>
    </row>
    <row r="326">
      <c r="C326" s="97"/>
    </row>
    <row r="327">
      <c r="C327" s="97"/>
    </row>
    <row r="328">
      <c r="C328" s="97"/>
    </row>
    <row r="329">
      <c r="C329" s="97"/>
    </row>
    <row r="330">
      <c r="C330" s="97"/>
    </row>
    <row r="331">
      <c r="C331" s="97"/>
    </row>
    <row r="332">
      <c r="C332" s="97"/>
    </row>
    <row r="333">
      <c r="C333" s="97"/>
    </row>
    <row r="334">
      <c r="C334" s="97"/>
    </row>
    <row r="335">
      <c r="C335" s="97"/>
    </row>
    <row r="336">
      <c r="C336" s="97"/>
    </row>
    <row r="337">
      <c r="C337" s="97"/>
    </row>
    <row r="338">
      <c r="C338" s="97"/>
    </row>
    <row r="339">
      <c r="C339" s="97"/>
    </row>
    <row r="340">
      <c r="C340" s="97"/>
    </row>
    <row r="341">
      <c r="C341" s="97"/>
    </row>
    <row r="342">
      <c r="C342" s="97"/>
    </row>
    <row r="343">
      <c r="C343" s="97"/>
    </row>
    <row r="344">
      <c r="C344" s="97"/>
    </row>
    <row r="345">
      <c r="C345" s="97"/>
    </row>
    <row r="346">
      <c r="C346" s="97"/>
    </row>
    <row r="347">
      <c r="C347" s="97"/>
    </row>
    <row r="348">
      <c r="C348" s="97"/>
    </row>
    <row r="349">
      <c r="C349" s="97"/>
    </row>
    <row r="350">
      <c r="C350" s="97"/>
    </row>
    <row r="351">
      <c r="C351" s="97"/>
    </row>
    <row r="352">
      <c r="C352" s="97"/>
    </row>
    <row r="353">
      <c r="C353" s="97"/>
    </row>
    <row r="354">
      <c r="C354" s="97"/>
    </row>
    <row r="355">
      <c r="C355" s="97"/>
    </row>
    <row r="356">
      <c r="C356" s="97"/>
    </row>
    <row r="357">
      <c r="C357" s="97"/>
    </row>
    <row r="358">
      <c r="C358" s="97"/>
    </row>
    <row r="359">
      <c r="C359" s="97"/>
    </row>
    <row r="360">
      <c r="C360" s="97"/>
    </row>
    <row r="361">
      <c r="C361" s="97"/>
    </row>
    <row r="362">
      <c r="C362" s="97"/>
    </row>
    <row r="363">
      <c r="C363" s="97"/>
    </row>
    <row r="364">
      <c r="C364" s="97"/>
    </row>
    <row r="365">
      <c r="C365" s="97"/>
    </row>
    <row r="366">
      <c r="C366" s="97"/>
    </row>
    <row r="367">
      <c r="C367" s="97"/>
    </row>
    <row r="368">
      <c r="C368" s="97"/>
    </row>
    <row r="369">
      <c r="C369" s="97"/>
    </row>
    <row r="370">
      <c r="C370" s="97"/>
    </row>
    <row r="371">
      <c r="C371" s="97"/>
    </row>
    <row r="372">
      <c r="C372" s="97"/>
    </row>
    <row r="373">
      <c r="C373" s="97"/>
    </row>
    <row r="374">
      <c r="C374" s="97"/>
    </row>
    <row r="375">
      <c r="C375" s="97"/>
    </row>
    <row r="376">
      <c r="C376" s="97"/>
    </row>
    <row r="377">
      <c r="C377" s="97"/>
    </row>
    <row r="378">
      <c r="C378" s="97"/>
    </row>
    <row r="379">
      <c r="C379" s="97"/>
    </row>
    <row r="380">
      <c r="C380" s="97"/>
    </row>
    <row r="381">
      <c r="C381" s="97"/>
    </row>
    <row r="382">
      <c r="C382" s="97"/>
    </row>
    <row r="383">
      <c r="C383" s="97"/>
    </row>
    <row r="384">
      <c r="C384" s="97"/>
    </row>
    <row r="385">
      <c r="C385" s="97"/>
    </row>
    <row r="386">
      <c r="C386" s="97"/>
    </row>
    <row r="387">
      <c r="C387" s="97"/>
    </row>
    <row r="388">
      <c r="C388" s="97"/>
    </row>
    <row r="389">
      <c r="C389" s="97"/>
    </row>
    <row r="390">
      <c r="C390" s="97"/>
    </row>
    <row r="391">
      <c r="C391" s="97"/>
    </row>
    <row r="392">
      <c r="C392" s="97"/>
    </row>
    <row r="393">
      <c r="C393" s="97"/>
    </row>
    <row r="394">
      <c r="C394" s="97"/>
    </row>
    <row r="395">
      <c r="C395" s="97"/>
    </row>
    <row r="396">
      <c r="C396" s="97"/>
    </row>
    <row r="397">
      <c r="C397" s="97"/>
    </row>
    <row r="398">
      <c r="C398" s="97"/>
    </row>
    <row r="399">
      <c r="C399" s="97"/>
    </row>
    <row r="400">
      <c r="C400" s="97"/>
    </row>
    <row r="401">
      <c r="C401" s="97"/>
    </row>
    <row r="402">
      <c r="C402" s="97"/>
    </row>
    <row r="403">
      <c r="C403" s="97"/>
    </row>
    <row r="404">
      <c r="C404" s="97"/>
    </row>
    <row r="405">
      <c r="C405" s="97"/>
    </row>
    <row r="406">
      <c r="C406" s="97"/>
    </row>
    <row r="407">
      <c r="C407" s="97"/>
    </row>
    <row r="408">
      <c r="C408" s="97"/>
    </row>
    <row r="409">
      <c r="C409" s="97"/>
    </row>
    <row r="410">
      <c r="C410" s="97"/>
    </row>
    <row r="411">
      <c r="C411" s="97"/>
    </row>
    <row r="412">
      <c r="C412" s="97"/>
    </row>
    <row r="413">
      <c r="C413" s="97"/>
    </row>
    <row r="414">
      <c r="C414" s="97"/>
    </row>
    <row r="415">
      <c r="C415" s="97"/>
    </row>
    <row r="416">
      <c r="C416" s="97"/>
    </row>
    <row r="417">
      <c r="C417" s="97"/>
    </row>
    <row r="418">
      <c r="C418" s="97"/>
    </row>
    <row r="419">
      <c r="C419" s="97"/>
    </row>
    <row r="420">
      <c r="C420" s="97"/>
    </row>
    <row r="421">
      <c r="C421" s="97"/>
    </row>
    <row r="422">
      <c r="C422" s="97"/>
    </row>
    <row r="423">
      <c r="C423" s="97"/>
    </row>
    <row r="424">
      <c r="C424" s="97"/>
    </row>
    <row r="425">
      <c r="C425" s="97"/>
    </row>
    <row r="426">
      <c r="C426" s="97"/>
    </row>
    <row r="427">
      <c r="C427" s="97"/>
    </row>
    <row r="428">
      <c r="C428" s="97"/>
    </row>
    <row r="429">
      <c r="C429" s="97"/>
    </row>
    <row r="430">
      <c r="C430" s="97"/>
    </row>
    <row r="431">
      <c r="C431" s="97"/>
    </row>
    <row r="432">
      <c r="C432" s="97"/>
    </row>
    <row r="433">
      <c r="C433" s="97"/>
    </row>
    <row r="434">
      <c r="C434" s="97"/>
    </row>
    <row r="435">
      <c r="C435" s="97"/>
    </row>
    <row r="436">
      <c r="C436" s="97"/>
    </row>
    <row r="437">
      <c r="C437" s="97"/>
    </row>
    <row r="438">
      <c r="C438" s="97"/>
    </row>
    <row r="439">
      <c r="C439" s="97"/>
    </row>
    <row r="440">
      <c r="C440" s="97"/>
    </row>
    <row r="441">
      <c r="C441" s="97"/>
    </row>
    <row r="442">
      <c r="C442" s="97"/>
    </row>
    <row r="443">
      <c r="C443" s="97"/>
    </row>
    <row r="444">
      <c r="C444" s="97"/>
    </row>
    <row r="445">
      <c r="C445" s="97"/>
    </row>
    <row r="446">
      <c r="C446" s="97"/>
    </row>
    <row r="447">
      <c r="C447" s="97"/>
    </row>
    <row r="448">
      <c r="C448" s="97"/>
    </row>
    <row r="449">
      <c r="C449" s="97"/>
    </row>
    <row r="450">
      <c r="C450" s="97"/>
    </row>
    <row r="451">
      <c r="C451" s="97"/>
    </row>
    <row r="452">
      <c r="C452" s="97"/>
    </row>
    <row r="453">
      <c r="C453" s="97"/>
    </row>
    <row r="454">
      <c r="C454" s="97"/>
    </row>
    <row r="455">
      <c r="C455" s="97"/>
    </row>
    <row r="456">
      <c r="C456" s="97"/>
    </row>
    <row r="457">
      <c r="C457" s="97"/>
    </row>
    <row r="458">
      <c r="C458" s="97"/>
    </row>
    <row r="459">
      <c r="C459" s="97"/>
    </row>
    <row r="460">
      <c r="C460" s="97"/>
    </row>
    <row r="461">
      <c r="C461" s="97"/>
    </row>
    <row r="462">
      <c r="C462" s="97"/>
    </row>
    <row r="463">
      <c r="C463" s="97"/>
    </row>
    <row r="464">
      <c r="C464" s="97"/>
    </row>
    <row r="465">
      <c r="C465" s="97"/>
    </row>
    <row r="466">
      <c r="C466" s="97"/>
    </row>
    <row r="467">
      <c r="C467" s="97"/>
    </row>
    <row r="468">
      <c r="C468" s="97"/>
    </row>
    <row r="469">
      <c r="C469" s="97"/>
    </row>
    <row r="470">
      <c r="C470" s="97"/>
    </row>
    <row r="471">
      <c r="C471" s="97"/>
    </row>
    <row r="472">
      <c r="C472" s="97"/>
    </row>
    <row r="473">
      <c r="C473" s="97"/>
    </row>
    <row r="474">
      <c r="C474" s="97"/>
    </row>
    <row r="475">
      <c r="C475" s="97"/>
    </row>
    <row r="476">
      <c r="C476" s="97"/>
    </row>
    <row r="477">
      <c r="C477" s="97"/>
    </row>
    <row r="478">
      <c r="C478" s="97"/>
    </row>
    <row r="479">
      <c r="C479" s="97"/>
    </row>
    <row r="480">
      <c r="C480" s="97"/>
    </row>
    <row r="481">
      <c r="C481" s="97"/>
    </row>
    <row r="482">
      <c r="C482" s="97"/>
    </row>
    <row r="483">
      <c r="C483" s="97"/>
    </row>
    <row r="484">
      <c r="C484" s="97"/>
    </row>
    <row r="485">
      <c r="C485" s="97"/>
    </row>
    <row r="486">
      <c r="C486" s="97"/>
    </row>
    <row r="487">
      <c r="C487" s="97"/>
    </row>
    <row r="488">
      <c r="C488" s="97"/>
    </row>
    <row r="489">
      <c r="C489" s="97"/>
    </row>
    <row r="490">
      <c r="C490" s="97"/>
    </row>
    <row r="491">
      <c r="C491" s="97"/>
    </row>
    <row r="492">
      <c r="C492" s="97"/>
    </row>
    <row r="493">
      <c r="C493" s="97"/>
    </row>
    <row r="494">
      <c r="C494" s="97"/>
    </row>
    <row r="495">
      <c r="C495" s="97"/>
    </row>
    <row r="496">
      <c r="C496" s="97"/>
    </row>
    <row r="497">
      <c r="C497" s="97"/>
    </row>
    <row r="498">
      <c r="C498" s="97"/>
    </row>
    <row r="499">
      <c r="C499" s="97"/>
    </row>
    <row r="500">
      <c r="C500" s="97"/>
    </row>
    <row r="501">
      <c r="C501" s="97"/>
    </row>
    <row r="502">
      <c r="C502" s="97"/>
    </row>
    <row r="503">
      <c r="C503" s="97"/>
    </row>
    <row r="504">
      <c r="C504" s="97"/>
    </row>
    <row r="505">
      <c r="C505" s="97"/>
    </row>
    <row r="506">
      <c r="C506" s="97"/>
    </row>
    <row r="507">
      <c r="C507" s="97"/>
    </row>
    <row r="508">
      <c r="C508" s="97"/>
    </row>
    <row r="509">
      <c r="C509" s="97"/>
    </row>
    <row r="510">
      <c r="C510" s="97"/>
    </row>
    <row r="511">
      <c r="C511" s="97"/>
    </row>
    <row r="512">
      <c r="C512" s="97"/>
    </row>
    <row r="513">
      <c r="C513" s="97"/>
    </row>
    <row r="514">
      <c r="C514" s="97"/>
    </row>
    <row r="515">
      <c r="C515" s="97"/>
    </row>
    <row r="516">
      <c r="C516" s="97"/>
    </row>
    <row r="517">
      <c r="C517" s="97"/>
    </row>
    <row r="518">
      <c r="C518" s="97"/>
    </row>
    <row r="519">
      <c r="C519" s="97"/>
    </row>
    <row r="520">
      <c r="C520" s="97"/>
    </row>
    <row r="521">
      <c r="C521" s="97"/>
    </row>
    <row r="522">
      <c r="C522" s="97"/>
    </row>
    <row r="523">
      <c r="C523" s="97"/>
    </row>
    <row r="524">
      <c r="C524" s="97"/>
    </row>
    <row r="525">
      <c r="C525" s="97"/>
    </row>
    <row r="526">
      <c r="C526" s="97"/>
    </row>
    <row r="527">
      <c r="C527" s="97"/>
    </row>
    <row r="528">
      <c r="C528" s="97"/>
    </row>
    <row r="529">
      <c r="C529" s="97"/>
    </row>
    <row r="530">
      <c r="C530" s="97"/>
    </row>
    <row r="531">
      <c r="C531" s="97"/>
    </row>
    <row r="532">
      <c r="C532" s="97"/>
    </row>
    <row r="533">
      <c r="C533" s="97"/>
    </row>
    <row r="534">
      <c r="C534" s="97"/>
    </row>
    <row r="535">
      <c r="C535" s="97"/>
    </row>
    <row r="536">
      <c r="C536" s="97"/>
    </row>
    <row r="537">
      <c r="C537" s="97"/>
    </row>
    <row r="538">
      <c r="C538" s="97"/>
    </row>
    <row r="539">
      <c r="C539" s="97"/>
    </row>
    <row r="540">
      <c r="C540" s="97"/>
    </row>
    <row r="541">
      <c r="C541" s="97"/>
    </row>
    <row r="542">
      <c r="C542" s="97"/>
    </row>
    <row r="543">
      <c r="C543" s="97"/>
    </row>
    <row r="544">
      <c r="C544" s="97"/>
    </row>
    <row r="545">
      <c r="C545" s="97"/>
    </row>
    <row r="546">
      <c r="C546" s="97"/>
    </row>
    <row r="547">
      <c r="C547" s="97"/>
    </row>
    <row r="548">
      <c r="C548" s="97"/>
    </row>
    <row r="549">
      <c r="C549" s="97"/>
    </row>
    <row r="550">
      <c r="C550" s="97"/>
    </row>
    <row r="551">
      <c r="C551" s="97"/>
    </row>
    <row r="552">
      <c r="C552" s="97"/>
    </row>
    <row r="553">
      <c r="C553" s="97"/>
    </row>
    <row r="554">
      <c r="C554" s="97"/>
    </row>
    <row r="555">
      <c r="C555" s="97"/>
    </row>
    <row r="556">
      <c r="C556" s="97"/>
    </row>
    <row r="557">
      <c r="C557" s="97"/>
    </row>
    <row r="558">
      <c r="C558" s="97"/>
    </row>
    <row r="559">
      <c r="C559" s="97"/>
    </row>
    <row r="560">
      <c r="C560" s="97"/>
    </row>
    <row r="561">
      <c r="C561" s="97"/>
    </row>
    <row r="562">
      <c r="C562" s="97"/>
    </row>
    <row r="563">
      <c r="C563" s="97"/>
    </row>
    <row r="564">
      <c r="C564" s="97"/>
    </row>
    <row r="565">
      <c r="C565" s="97"/>
    </row>
    <row r="566">
      <c r="C566" s="97"/>
    </row>
    <row r="567">
      <c r="C567" s="97"/>
    </row>
    <row r="568">
      <c r="C568" s="97"/>
    </row>
    <row r="569">
      <c r="C569" s="97"/>
    </row>
    <row r="570">
      <c r="C570" s="97"/>
    </row>
    <row r="571">
      <c r="C571" s="97"/>
    </row>
    <row r="572">
      <c r="C572" s="97"/>
    </row>
    <row r="573">
      <c r="C573" s="97"/>
    </row>
    <row r="574">
      <c r="C574" s="97"/>
    </row>
    <row r="575">
      <c r="C575" s="97"/>
    </row>
    <row r="576">
      <c r="C576" s="97"/>
    </row>
    <row r="577">
      <c r="C577" s="97"/>
    </row>
    <row r="578">
      <c r="C578" s="97"/>
    </row>
    <row r="579">
      <c r="C579" s="97"/>
    </row>
    <row r="580">
      <c r="C580" s="97"/>
    </row>
    <row r="581">
      <c r="C581" s="97"/>
    </row>
    <row r="582">
      <c r="C582" s="97"/>
    </row>
    <row r="583">
      <c r="C583" s="97"/>
    </row>
    <row r="584">
      <c r="C584" s="97"/>
    </row>
    <row r="585">
      <c r="C585" s="97"/>
    </row>
    <row r="586">
      <c r="C586" s="97"/>
    </row>
    <row r="587">
      <c r="C587" s="97"/>
    </row>
    <row r="588">
      <c r="C588" s="97"/>
    </row>
    <row r="589">
      <c r="C589" s="97"/>
    </row>
    <row r="590">
      <c r="C590" s="97"/>
    </row>
    <row r="591">
      <c r="C591" s="97"/>
    </row>
    <row r="592">
      <c r="C592" s="97"/>
    </row>
    <row r="593">
      <c r="C593" s="97"/>
    </row>
    <row r="594">
      <c r="C594" s="97"/>
    </row>
    <row r="595">
      <c r="C595" s="97"/>
    </row>
    <row r="596">
      <c r="C596" s="97"/>
    </row>
    <row r="597">
      <c r="C597" s="97"/>
    </row>
    <row r="598">
      <c r="C598" s="97"/>
    </row>
    <row r="599">
      <c r="C599" s="97"/>
    </row>
    <row r="600">
      <c r="C600" s="97"/>
    </row>
    <row r="601">
      <c r="C601" s="97"/>
    </row>
    <row r="602">
      <c r="C602" s="97"/>
    </row>
    <row r="603">
      <c r="C603" s="97"/>
    </row>
    <row r="604">
      <c r="C604" s="97"/>
    </row>
    <row r="605">
      <c r="C605" s="97"/>
    </row>
    <row r="606">
      <c r="C606" s="97"/>
    </row>
    <row r="607">
      <c r="C607" s="97"/>
    </row>
    <row r="608">
      <c r="C608" s="97"/>
    </row>
    <row r="609">
      <c r="C609" s="97"/>
    </row>
    <row r="610">
      <c r="C610" s="97"/>
    </row>
    <row r="611">
      <c r="C611" s="97"/>
    </row>
    <row r="612">
      <c r="C612" s="97"/>
    </row>
    <row r="613">
      <c r="C613" s="97"/>
    </row>
    <row r="614">
      <c r="C614" s="97"/>
    </row>
    <row r="615">
      <c r="C615" s="97"/>
    </row>
    <row r="616">
      <c r="C616" s="97"/>
    </row>
    <row r="617">
      <c r="C617" s="97"/>
    </row>
    <row r="618">
      <c r="C618" s="97"/>
    </row>
    <row r="619">
      <c r="C619" s="97"/>
    </row>
    <row r="620">
      <c r="C620" s="97"/>
    </row>
    <row r="621">
      <c r="C621" s="97"/>
    </row>
    <row r="622">
      <c r="C622" s="97"/>
    </row>
    <row r="623">
      <c r="C623" s="97"/>
    </row>
    <row r="624">
      <c r="C624" s="97"/>
    </row>
    <row r="625">
      <c r="C625" s="97"/>
    </row>
    <row r="626">
      <c r="C626" s="97"/>
    </row>
    <row r="627">
      <c r="C627" s="97"/>
    </row>
    <row r="628">
      <c r="C628" s="97"/>
    </row>
    <row r="629">
      <c r="C629" s="97"/>
    </row>
    <row r="630">
      <c r="C630" s="97"/>
    </row>
    <row r="631">
      <c r="C631" s="97"/>
    </row>
    <row r="632">
      <c r="C632" s="97"/>
    </row>
    <row r="633">
      <c r="C633" s="97"/>
    </row>
    <row r="634">
      <c r="C634" s="97"/>
    </row>
    <row r="635">
      <c r="C635" s="97"/>
    </row>
    <row r="636">
      <c r="C636" s="97"/>
    </row>
    <row r="637">
      <c r="C637" s="97"/>
    </row>
    <row r="638">
      <c r="C638" s="97"/>
    </row>
    <row r="639">
      <c r="C639" s="97"/>
    </row>
    <row r="640">
      <c r="C640" s="97"/>
    </row>
    <row r="641">
      <c r="C641" s="97"/>
    </row>
    <row r="642">
      <c r="C642" s="97"/>
    </row>
    <row r="643">
      <c r="C643" s="97"/>
    </row>
    <row r="644">
      <c r="C644" s="97"/>
    </row>
    <row r="645">
      <c r="C645" s="97"/>
    </row>
    <row r="646">
      <c r="C646" s="97"/>
    </row>
    <row r="647">
      <c r="C647" s="97"/>
    </row>
    <row r="648">
      <c r="C648" s="97"/>
    </row>
    <row r="649">
      <c r="C649" s="97"/>
    </row>
    <row r="650">
      <c r="C650" s="97"/>
    </row>
    <row r="651">
      <c r="C651" s="97"/>
    </row>
    <row r="652">
      <c r="C652" s="97"/>
    </row>
    <row r="653">
      <c r="C653" s="97"/>
    </row>
    <row r="654">
      <c r="C654" s="97"/>
    </row>
    <row r="655">
      <c r="C655" s="97"/>
    </row>
    <row r="656">
      <c r="C656" s="97"/>
    </row>
    <row r="657">
      <c r="C657" s="97"/>
    </row>
    <row r="658">
      <c r="C658" s="97"/>
    </row>
    <row r="659">
      <c r="C659" s="97"/>
    </row>
    <row r="660">
      <c r="C660" s="97"/>
    </row>
    <row r="661">
      <c r="C661" s="97"/>
    </row>
    <row r="662">
      <c r="C662" s="97"/>
    </row>
    <row r="663">
      <c r="C663" s="97"/>
    </row>
    <row r="664">
      <c r="C664" s="97"/>
    </row>
    <row r="665">
      <c r="C665" s="97"/>
    </row>
    <row r="666">
      <c r="C666" s="97"/>
    </row>
    <row r="667">
      <c r="C667" s="97"/>
    </row>
    <row r="668">
      <c r="C668" s="97"/>
    </row>
    <row r="669">
      <c r="C669" s="97"/>
    </row>
    <row r="670">
      <c r="C670" s="97"/>
    </row>
    <row r="671">
      <c r="C671" s="97"/>
    </row>
    <row r="672">
      <c r="C672" s="97"/>
    </row>
    <row r="673">
      <c r="C673" s="97"/>
    </row>
    <row r="674">
      <c r="C674" s="97"/>
    </row>
    <row r="675">
      <c r="C675" s="97"/>
    </row>
    <row r="676">
      <c r="C676" s="97"/>
    </row>
    <row r="677">
      <c r="C677" s="97"/>
    </row>
    <row r="678">
      <c r="C678" s="97"/>
    </row>
    <row r="679">
      <c r="C679" s="97"/>
    </row>
    <row r="680">
      <c r="C680" s="97"/>
    </row>
    <row r="681">
      <c r="C681" s="97"/>
    </row>
    <row r="682">
      <c r="C682" s="97"/>
    </row>
    <row r="683">
      <c r="C683" s="97"/>
    </row>
    <row r="684">
      <c r="C684" s="97"/>
    </row>
    <row r="685">
      <c r="C685" s="97"/>
    </row>
    <row r="686">
      <c r="C686" s="97"/>
    </row>
    <row r="687">
      <c r="C687" s="97"/>
    </row>
    <row r="688">
      <c r="C688" s="97"/>
    </row>
    <row r="689">
      <c r="C689" s="97"/>
    </row>
    <row r="690">
      <c r="C690" s="97"/>
    </row>
    <row r="691">
      <c r="C691" s="97"/>
    </row>
    <row r="692">
      <c r="C692" s="97"/>
    </row>
    <row r="693">
      <c r="C693" s="97"/>
    </row>
    <row r="694">
      <c r="C694" s="97"/>
    </row>
    <row r="695">
      <c r="C695" s="97"/>
    </row>
    <row r="696">
      <c r="C696" s="97"/>
    </row>
    <row r="697">
      <c r="C697" s="97"/>
    </row>
    <row r="698">
      <c r="C698" s="97"/>
    </row>
    <row r="699">
      <c r="C699" s="97"/>
    </row>
    <row r="700">
      <c r="C700" s="97"/>
    </row>
    <row r="701">
      <c r="C701" s="97"/>
    </row>
    <row r="702">
      <c r="C702" s="97"/>
    </row>
    <row r="703">
      <c r="C703" s="97"/>
    </row>
    <row r="704">
      <c r="C704" s="97"/>
    </row>
    <row r="705">
      <c r="C705" s="97"/>
    </row>
    <row r="706">
      <c r="C706" s="97"/>
    </row>
    <row r="707">
      <c r="C707" s="97"/>
    </row>
    <row r="708">
      <c r="C708" s="97"/>
    </row>
    <row r="709">
      <c r="C709" s="97"/>
    </row>
    <row r="710">
      <c r="C710" s="97"/>
    </row>
    <row r="711">
      <c r="C711" s="97"/>
    </row>
    <row r="712">
      <c r="C712" s="97"/>
    </row>
    <row r="713">
      <c r="C713" s="97"/>
    </row>
    <row r="714">
      <c r="C714" s="97"/>
    </row>
    <row r="715">
      <c r="C715" s="97"/>
    </row>
    <row r="716">
      <c r="C716" s="97"/>
    </row>
    <row r="717">
      <c r="C717" s="97"/>
    </row>
    <row r="718">
      <c r="C718" s="97"/>
    </row>
    <row r="719">
      <c r="C719" s="97"/>
    </row>
    <row r="720">
      <c r="C720" s="97"/>
    </row>
    <row r="721">
      <c r="C721" s="97"/>
    </row>
    <row r="722">
      <c r="C722" s="97"/>
    </row>
    <row r="723">
      <c r="C723" s="97"/>
    </row>
    <row r="724">
      <c r="C724" s="97"/>
    </row>
    <row r="725">
      <c r="C725" s="97"/>
    </row>
    <row r="726">
      <c r="C726" s="97"/>
    </row>
    <row r="727">
      <c r="C727" s="97"/>
    </row>
    <row r="728">
      <c r="C728" s="97"/>
    </row>
    <row r="729">
      <c r="C729" s="97"/>
    </row>
    <row r="730">
      <c r="C730" s="97"/>
    </row>
    <row r="731">
      <c r="C731" s="97"/>
    </row>
    <row r="732">
      <c r="C732" s="97"/>
    </row>
    <row r="733">
      <c r="C733" s="97"/>
    </row>
    <row r="734">
      <c r="C734" s="97"/>
    </row>
    <row r="735">
      <c r="C735" s="97"/>
    </row>
    <row r="736">
      <c r="C736" s="97"/>
    </row>
    <row r="737">
      <c r="C737" s="97"/>
    </row>
    <row r="738">
      <c r="C738" s="97"/>
    </row>
    <row r="739">
      <c r="C739" s="97"/>
    </row>
    <row r="740">
      <c r="C740" s="97"/>
    </row>
    <row r="741">
      <c r="C741" s="97"/>
    </row>
    <row r="742">
      <c r="C742" s="97"/>
    </row>
    <row r="743">
      <c r="C743" s="97"/>
    </row>
    <row r="744">
      <c r="C744" s="97"/>
    </row>
    <row r="745">
      <c r="C745" s="97"/>
    </row>
    <row r="746">
      <c r="C746" s="97"/>
    </row>
    <row r="747">
      <c r="C747" s="97"/>
    </row>
    <row r="748">
      <c r="C748" s="97"/>
    </row>
    <row r="749">
      <c r="C749" s="97"/>
    </row>
    <row r="750">
      <c r="C750" s="97"/>
    </row>
    <row r="751">
      <c r="C751" s="97"/>
    </row>
    <row r="752">
      <c r="C752" s="97"/>
    </row>
    <row r="753">
      <c r="C753" s="97"/>
    </row>
    <row r="754">
      <c r="C754" s="97"/>
    </row>
    <row r="755">
      <c r="C755" s="97"/>
    </row>
    <row r="756">
      <c r="C756" s="97"/>
    </row>
    <row r="757">
      <c r="C757" s="97"/>
    </row>
    <row r="758">
      <c r="C758" s="97"/>
    </row>
    <row r="759">
      <c r="C759" s="97"/>
    </row>
    <row r="760">
      <c r="C760" s="97"/>
    </row>
    <row r="761">
      <c r="C761" s="97"/>
    </row>
    <row r="762">
      <c r="C762" s="97"/>
    </row>
    <row r="763">
      <c r="C763" s="97"/>
    </row>
    <row r="764">
      <c r="C764" s="97"/>
    </row>
    <row r="765">
      <c r="C765" s="97"/>
    </row>
    <row r="766">
      <c r="C766" s="97"/>
    </row>
    <row r="767">
      <c r="C767" s="97"/>
    </row>
    <row r="768">
      <c r="C768" s="97"/>
    </row>
    <row r="769">
      <c r="C769" s="97"/>
    </row>
    <row r="770">
      <c r="C770" s="97"/>
    </row>
    <row r="771">
      <c r="C771" s="97"/>
    </row>
    <row r="772">
      <c r="C772" s="97"/>
    </row>
    <row r="773">
      <c r="C773" s="97"/>
    </row>
    <row r="774">
      <c r="C774" s="97"/>
    </row>
    <row r="775">
      <c r="C775" s="97"/>
    </row>
    <row r="776">
      <c r="C776" s="97"/>
    </row>
    <row r="777">
      <c r="C777" s="97"/>
    </row>
    <row r="778">
      <c r="C778" s="97"/>
    </row>
    <row r="779">
      <c r="C779" s="97"/>
    </row>
    <row r="780">
      <c r="C780" s="97"/>
    </row>
    <row r="781">
      <c r="C781" s="97"/>
    </row>
    <row r="782">
      <c r="C782" s="97"/>
    </row>
    <row r="783">
      <c r="C783" s="97"/>
    </row>
    <row r="784">
      <c r="C784" s="97"/>
    </row>
    <row r="785">
      <c r="C785" s="97"/>
    </row>
    <row r="786">
      <c r="C786" s="97"/>
    </row>
    <row r="787">
      <c r="C787" s="97"/>
    </row>
    <row r="788">
      <c r="C788" s="97"/>
    </row>
    <row r="789">
      <c r="C789" s="97"/>
    </row>
    <row r="790">
      <c r="C790" s="97"/>
    </row>
    <row r="791">
      <c r="C791" s="97"/>
    </row>
    <row r="792">
      <c r="C792" s="97"/>
    </row>
    <row r="793">
      <c r="C793" s="97"/>
    </row>
    <row r="794">
      <c r="C794" s="97"/>
    </row>
    <row r="795">
      <c r="C795" s="97"/>
    </row>
    <row r="796">
      <c r="C796" s="97"/>
    </row>
    <row r="797">
      <c r="C797" s="97"/>
    </row>
    <row r="798">
      <c r="C798" s="97"/>
    </row>
    <row r="799">
      <c r="C799" s="97"/>
    </row>
    <row r="800">
      <c r="C800" s="97"/>
    </row>
    <row r="801">
      <c r="C801" s="97"/>
    </row>
    <row r="802">
      <c r="C802" s="97"/>
    </row>
    <row r="803">
      <c r="C803" s="97"/>
    </row>
    <row r="804">
      <c r="C804" s="97"/>
    </row>
    <row r="805">
      <c r="C805" s="97"/>
    </row>
    <row r="806">
      <c r="C806" s="97"/>
    </row>
    <row r="807">
      <c r="C807" s="97"/>
    </row>
    <row r="808">
      <c r="C808" s="97"/>
    </row>
    <row r="809">
      <c r="C809" s="97"/>
    </row>
    <row r="810">
      <c r="C810" s="97"/>
    </row>
    <row r="811">
      <c r="C811" s="97"/>
    </row>
    <row r="812">
      <c r="C812" s="97"/>
    </row>
    <row r="813">
      <c r="C813" s="97"/>
    </row>
    <row r="814">
      <c r="C814" s="97"/>
    </row>
    <row r="815">
      <c r="C815" s="97"/>
    </row>
    <row r="816">
      <c r="C816" s="97"/>
    </row>
    <row r="817">
      <c r="C817" s="97"/>
    </row>
    <row r="818">
      <c r="C818" s="97"/>
    </row>
    <row r="819">
      <c r="C819" s="97"/>
    </row>
    <row r="820">
      <c r="C820" s="97"/>
    </row>
    <row r="821">
      <c r="C821" s="97"/>
    </row>
    <row r="822">
      <c r="C822" s="97"/>
    </row>
    <row r="823">
      <c r="C823" s="97"/>
    </row>
    <row r="824">
      <c r="C824" s="97"/>
    </row>
    <row r="825">
      <c r="C825" s="97"/>
    </row>
    <row r="826">
      <c r="C826" s="97"/>
    </row>
    <row r="827">
      <c r="C827" s="97"/>
    </row>
    <row r="828">
      <c r="C828" s="97"/>
    </row>
    <row r="829">
      <c r="C829" s="97"/>
    </row>
    <row r="830">
      <c r="C830" s="97"/>
    </row>
    <row r="831">
      <c r="C831" s="97"/>
    </row>
    <row r="832">
      <c r="C832" s="97"/>
    </row>
    <row r="833">
      <c r="C833" s="97"/>
    </row>
    <row r="834">
      <c r="C834" s="97"/>
    </row>
    <row r="835">
      <c r="C835" s="97"/>
    </row>
    <row r="836">
      <c r="C836" s="97"/>
    </row>
    <row r="837">
      <c r="C837" s="97"/>
    </row>
    <row r="838">
      <c r="C838" s="97"/>
    </row>
    <row r="839">
      <c r="C839" s="97"/>
    </row>
    <row r="840">
      <c r="C840" s="97"/>
    </row>
    <row r="841">
      <c r="C841" s="97"/>
    </row>
    <row r="842">
      <c r="C842" s="97"/>
    </row>
    <row r="843">
      <c r="C843" s="97"/>
    </row>
    <row r="844">
      <c r="C844" s="97"/>
    </row>
    <row r="845">
      <c r="C845" s="97"/>
    </row>
    <row r="846">
      <c r="C846" s="97"/>
    </row>
    <row r="847">
      <c r="C847" s="97"/>
    </row>
    <row r="848">
      <c r="C848" s="97"/>
    </row>
    <row r="849">
      <c r="C849" s="97"/>
    </row>
    <row r="850">
      <c r="C850" s="97"/>
    </row>
    <row r="851">
      <c r="C851" s="97"/>
    </row>
    <row r="852">
      <c r="C852" s="97"/>
    </row>
    <row r="853">
      <c r="C853" s="97"/>
    </row>
    <row r="854">
      <c r="C854" s="97"/>
    </row>
    <row r="855">
      <c r="C855" s="97"/>
    </row>
    <row r="856">
      <c r="C856" s="97"/>
    </row>
    <row r="857">
      <c r="C857" s="97"/>
    </row>
    <row r="858">
      <c r="C858" s="97"/>
    </row>
    <row r="859">
      <c r="C859" s="97"/>
    </row>
    <row r="860">
      <c r="C860" s="97"/>
    </row>
    <row r="861">
      <c r="C861" s="97"/>
    </row>
    <row r="862">
      <c r="C862" s="97"/>
    </row>
    <row r="863">
      <c r="C863" s="97"/>
    </row>
    <row r="864">
      <c r="C864" s="97"/>
    </row>
    <row r="865">
      <c r="C865" s="97"/>
    </row>
    <row r="866">
      <c r="C866" s="97"/>
    </row>
    <row r="867">
      <c r="C867" s="97"/>
    </row>
    <row r="868">
      <c r="C868" s="97"/>
    </row>
    <row r="869">
      <c r="C869" s="97"/>
    </row>
    <row r="870">
      <c r="C870" s="97"/>
    </row>
    <row r="871">
      <c r="C871" s="97"/>
    </row>
    <row r="872">
      <c r="C872" s="97"/>
    </row>
    <row r="873">
      <c r="C873" s="97"/>
    </row>
    <row r="874">
      <c r="C874" s="97"/>
    </row>
    <row r="875">
      <c r="C875" s="97"/>
    </row>
    <row r="876">
      <c r="C876" s="97"/>
    </row>
    <row r="877">
      <c r="C877" s="97"/>
    </row>
    <row r="878">
      <c r="C878" s="97"/>
    </row>
    <row r="879">
      <c r="C879" s="97"/>
    </row>
    <row r="880">
      <c r="C880" s="97"/>
    </row>
    <row r="881">
      <c r="C881" s="97"/>
    </row>
    <row r="882">
      <c r="C882" s="97"/>
    </row>
    <row r="883">
      <c r="C883" s="97"/>
    </row>
    <row r="884">
      <c r="C884" s="97"/>
    </row>
    <row r="885">
      <c r="C885" s="97"/>
    </row>
    <row r="886">
      <c r="C886" s="97"/>
    </row>
    <row r="887">
      <c r="C887" s="97"/>
    </row>
    <row r="888">
      <c r="C888" s="97"/>
    </row>
    <row r="889">
      <c r="C889" s="97"/>
    </row>
    <row r="890">
      <c r="C890" s="97"/>
    </row>
    <row r="891">
      <c r="C891" s="97"/>
    </row>
    <row r="892">
      <c r="C892" s="97"/>
    </row>
    <row r="893">
      <c r="C893" s="97"/>
    </row>
    <row r="894">
      <c r="C894" s="97"/>
    </row>
    <row r="895">
      <c r="C895" s="97"/>
    </row>
    <row r="896">
      <c r="C896" s="97"/>
    </row>
    <row r="897">
      <c r="C897" s="97"/>
    </row>
    <row r="898">
      <c r="C898" s="97"/>
    </row>
    <row r="899">
      <c r="C899" s="97"/>
    </row>
    <row r="900">
      <c r="C900" s="97"/>
    </row>
    <row r="901">
      <c r="C901" s="97"/>
    </row>
    <row r="902">
      <c r="C902" s="97"/>
    </row>
    <row r="903">
      <c r="C903" s="97"/>
    </row>
    <row r="904">
      <c r="C904" s="97"/>
    </row>
    <row r="905">
      <c r="C905" s="97"/>
    </row>
    <row r="906">
      <c r="C906" s="97"/>
    </row>
    <row r="907">
      <c r="C907" s="97"/>
    </row>
    <row r="908">
      <c r="C908" s="97"/>
    </row>
    <row r="909">
      <c r="C909" s="97"/>
    </row>
    <row r="910">
      <c r="C910" s="97"/>
    </row>
    <row r="911">
      <c r="C911" s="97"/>
    </row>
    <row r="912">
      <c r="C912" s="97"/>
    </row>
    <row r="913">
      <c r="C913" s="97"/>
    </row>
    <row r="914">
      <c r="C914" s="97"/>
    </row>
    <row r="915">
      <c r="C915" s="97"/>
    </row>
    <row r="916">
      <c r="C916" s="97"/>
    </row>
    <row r="917">
      <c r="C917" s="97"/>
    </row>
    <row r="918">
      <c r="C918" s="97"/>
    </row>
    <row r="919">
      <c r="C919" s="97"/>
    </row>
    <row r="920">
      <c r="C920" s="97"/>
    </row>
    <row r="921">
      <c r="C921" s="97"/>
    </row>
    <row r="922">
      <c r="C922" s="97"/>
    </row>
    <row r="923">
      <c r="C923" s="97"/>
    </row>
    <row r="924">
      <c r="C924" s="97"/>
    </row>
    <row r="925">
      <c r="C925" s="97"/>
    </row>
    <row r="926">
      <c r="C926" s="97"/>
    </row>
    <row r="927">
      <c r="C927" s="97"/>
    </row>
    <row r="928">
      <c r="C928" s="97"/>
    </row>
    <row r="929">
      <c r="C929" s="97"/>
    </row>
    <row r="930">
      <c r="C930" s="97"/>
    </row>
    <row r="931">
      <c r="C931" s="97"/>
    </row>
    <row r="932">
      <c r="C932" s="97"/>
    </row>
    <row r="933">
      <c r="C933" s="97"/>
    </row>
    <row r="934">
      <c r="C934" s="97"/>
    </row>
    <row r="935">
      <c r="C935" s="97"/>
    </row>
    <row r="936">
      <c r="C936" s="97"/>
    </row>
    <row r="937">
      <c r="C937" s="97"/>
    </row>
    <row r="938">
      <c r="C938" s="97"/>
    </row>
    <row r="939">
      <c r="C939" s="97"/>
    </row>
    <row r="940">
      <c r="C940" s="97"/>
    </row>
    <row r="941">
      <c r="C941" s="97"/>
    </row>
    <row r="942">
      <c r="C942" s="97"/>
    </row>
    <row r="943">
      <c r="C943" s="97"/>
    </row>
    <row r="944">
      <c r="C944" s="97"/>
    </row>
    <row r="945">
      <c r="C945" s="97"/>
    </row>
    <row r="946">
      <c r="C946" s="97"/>
    </row>
    <row r="947">
      <c r="C947" s="97"/>
    </row>
    <row r="948">
      <c r="C948" s="97"/>
    </row>
    <row r="949">
      <c r="C949" s="97"/>
    </row>
    <row r="950">
      <c r="C950" s="97"/>
    </row>
    <row r="951">
      <c r="C951" s="97"/>
    </row>
    <row r="952">
      <c r="C952" s="97"/>
    </row>
    <row r="953">
      <c r="C953" s="97"/>
    </row>
    <row r="954">
      <c r="C954" s="97"/>
    </row>
    <row r="955">
      <c r="C955" s="97"/>
    </row>
    <row r="956">
      <c r="C956" s="97"/>
    </row>
    <row r="957">
      <c r="C957" s="97"/>
    </row>
    <row r="958">
      <c r="C958" s="97"/>
    </row>
    <row r="959">
      <c r="C959" s="97"/>
    </row>
    <row r="960">
      <c r="C960" s="97"/>
    </row>
    <row r="961">
      <c r="C961" s="97"/>
    </row>
    <row r="962">
      <c r="C962" s="97"/>
    </row>
    <row r="963">
      <c r="C963" s="97"/>
    </row>
    <row r="964">
      <c r="C964" s="97"/>
    </row>
    <row r="965">
      <c r="C965" s="97"/>
    </row>
    <row r="966">
      <c r="C966" s="97"/>
    </row>
    <row r="967">
      <c r="C967" s="97"/>
    </row>
    <row r="968">
      <c r="C968" s="97"/>
    </row>
    <row r="969">
      <c r="C969" s="97"/>
    </row>
    <row r="970">
      <c r="C970" s="97"/>
    </row>
    <row r="971">
      <c r="C971" s="97"/>
    </row>
    <row r="972">
      <c r="C972" s="97"/>
    </row>
    <row r="973">
      <c r="C973" s="97"/>
    </row>
    <row r="974">
      <c r="C974" s="97"/>
    </row>
    <row r="975">
      <c r="C975" s="97"/>
    </row>
    <row r="976">
      <c r="C976" s="97"/>
    </row>
    <row r="977">
      <c r="C977" s="97"/>
    </row>
    <row r="978">
      <c r="C978" s="97"/>
    </row>
    <row r="979">
      <c r="C979" s="97"/>
    </row>
    <row r="980">
      <c r="C980" s="97"/>
    </row>
    <row r="981">
      <c r="C981" s="97"/>
    </row>
    <row r="982">
      <c r="C982" s="97"/>
    </row>
    <row r="983">
      <c r="C983" s="97"/>
    </row>
    <row r="984">
      <c r="C984" s="97"/>
    </row>
    <row r="985">
      <c r="C985" s="97"/>
    </row>
    <row r="986">
      <c r="C986" s="97"/>
    </row>
    <row r="987">
      <c r="C987" s="97"/>
    </row>
    <row r="988">
      <c r="C988" s="97"/>
    </row>
    <row r="989">
      <c r="C989" s="97"/>
    </row>
    <row r="990">
      <c r="C990" s="97"/>
    </row>
    <row r="991">
      <c r="C991" s="97"/>
    </row>
    <row r="992">
      <c r="C992" s="97"/>
    </row>
    <row r="993">
      <c r="C993" s="97"/>
    </row>
    <row r="994">
      <c r="C994" s="97"/>
    </row>
    <row r="995">
      <c r="C995" s="97"/>
    </row>
    <row r="996">
      <c r="C996" s="97"/>
    </row>
    <row r="997">
      <c r="C997" s="97"/>
    </row>
    <row r="998">
      <c r="C998" s="97"/>
    </row>
    <row r="999">
      <c r="C999" s="97"/>
    </row>
    <row r="1000">
      <c r="C1000" s="97"/>
    </row>
    <row r="1001">
      <c r="C1001" s="97"/>
    </row>
    <row r="1002">
      <c r="C1002" s="97"/>
    </row>
    <row r="1003">
      <c r="C1003" s="97"/>
    </row>
    <row r="1004">
      <c r="C1004" s="97"/>
    </row>
    <row r="1005">
      <c r="C1005" s="97"/>
    </row>
    <row r="1006">
      <c r="C1006" s="97"/>
    </row>
    <row r="1007">
      <c r="C1007" s="97"/>
    </row>
    <row r="1008">
      <c r="C1008" s="97"/>
    </row>
    <row r="1009">
      <c r="C1009" s="97"/>
    </row>
    <row r="1010">
      <c r="C1010" s="97"/>
    </row>
    <row r="1011">
      <c r="C1011" s="97"/>
    </row>
    <row r="1012">
      <c r="C1012" s="97"/>
    </row>
    <row r="1013">
      <c r="C1013" s="97"/>
    </row>
    <row r="1014">
      <c r="C1014" s="97"/>
    </row>
    <row r="1015">
      <c r="C1015" s="97"/>
    </row>
    <row r="1016">
      <c r="C1016" s="97"/>
    </row>
    <row r="1017">
      <c r="C1017" s="97"/>
    </row>
    <row r="1018">
      <c r="C1018" s="97"/>
    </row>
    <row r="1019">
      <c r="C1019" s="97"/>
    </row>
    <row r="1020">
      <c r="C1020" s="97"/>
    </row>
    <row r="1021">
      <c r="C1021" s="97"/>
    </row>
    <row r="1022">
      <c r="C1022" s="97"/>
    </row>
    <row r="1023">
      <c r="C1023" s="97"/>
    </row>
    <row r="1024">
      <c r="C1024" s="97"/>
    </row>
    <row r="1025">
      <c r="C1025" s="97"/>
    </row>
    <row r="1026">
      <c r="C1026" s="97"/>
    </row>
    <row r="1027">
      <c r="C1027" s="97"/>
    </row>
    <row r="1028">
      <c r="C1028" s="97"/>
    </row>
  </sheetData>
  <dataValidations>
    <dataValidation type="custom" allowBlank="1" showDropDown="1" sqref="A3:A75">
      <formula1>AND(ISNUMBER(A3),(NOT(OR(NOT(ISERROR(DATEVALUE(A3))), AND(ISNUMBER(A3), LEFT(CELL("format", A3))="D")))))</formula1>
    </dataValidation>
    <dataValidation type="custom" allowBlank="1" showDropDown="1" sqref="O3:O75">
      <formula1>OR(NOT(ISERROR(DATEVALUE(O3))), AND(ISNUMBER(O3), LEFT(CELL("format", O3))="D"))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